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niell/Desktop/"/>
    </mc:Choice>
  </mc:AlternateContent>
  <xr:revisionPtr revIDLastSave="0" documentId="8_{45F9492C-058E-BA4F-91DD-E33ACAF03652}" xr6:coauthVersionLast="47" xr6:coauthVersionMax="47" xr10:uidLastSave="{00000000-0000-0000-0000-000000000000}"/>
  <bookViews>
    <workbookView xWindow="0" yWindow="780" windowWidth="40640" windowHeight="25800" tabRatio="500" xr2:uid="{00000000-000D-0000-FFFF-FFFF00000000}"/>
  </bookViews>
  <sheets>
    <sheet name="Pre Costing" sheetId="1" r:id="rId1"/>
    <sheet name="T&amp;A" sheetId="2" r:id="rId2"/>
    <sheet name="Margin Data Recap" sheetId="3" r:id="rId3"/>
    <sheet name="Internal" sheetId="6" r:id="rId4"/>
  </sheets>
  <definedNames>
    <definedName name="COO">Internal!$A$1:$B$16</definedName>
    <definedName name="DUTYFREE">Internal!#REF!</definedName>
    <definedName name="ExternalData_4" localSheetId="2" hidden="1">'Margin Data Recap'!$A$2:$P$16</definedName>
    <definedName name="FCA">Internal!#REF!</definedName>
    <definedName name="FIRSTSALE">Internal!#REF!</definedName>
    <definedName name="FOB">Internal!#REF!</definedName>
    <definedName name="Frieght">Internal!$A$1:$E$16</definedName>
    <definedName name="OrderConfrim">Table1[]</definedName>
    <definedName name="PACKING">Internal!$AC$1:$AD$7</definedName>
    <definedName name="_xlnm.Print_Area" localSheetId="0">'Pre Costing'!$A$1:$BG$6</definedName>
    <definedName name="_xlnm.Print_Titles" localSheetId="0">'Pre Costing'!$2:$4</definedName>
    <definedName name="Program">Internal!$AI$1:$AK$19</definedName>
    <definedName name="Sizing">Internal!$AF$1:$AG$4</definedName>
    <definedName name="Term" localSheetId="0">'Pre Costing'!#REF!</definedName>
    <definedName name="Term">#REF!</definedName>
    <definedName name="Terms">Internal!$AM$1:$AM$6</definedName>
    <definedName name="vendors" localSheetId="0">'Pre Costing'!$N$2:$S$2</definedName>
    <definedName name="Vendors">Internal!$Z$1:$AA$48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15" i="1" l="1" a="1"/>
  <c r="AM15" i="1" s="1"/>
  <c r="AD4" i="3" l="1"/>
  <c r="AD12" i="3"/>
  <c r="AD13" i="3"/>
  <c r="AD14" i="3"/>
  <c r="AD15" i="3"/>
  <c r="AD16" i="3"/>
  <c r="AD3" i="3"/>
  <c r="L5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L3" i="6"/>
  <c r="L4" i="6"/>
  <c r="L6" i="6"/>
  <c r="L7" i="6"/>
  <c r="L8" i="6"/>
  <c r="L9" i="6"/>
  <c r="L10" i="6"/>
  <c r="L11" i="6"/>
  <c r="L12" i="6"/>
  <c r="L13" i="6"/>
  <c r="L14" i="6"/>
  <c r="L15" i="6"/>
  <c r="L16" i="6"/>
  <c r="L2" i="6"/>
  <c r="E2" i="6" s="1"/>
  <c r="N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2" i="6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V6" i="6"/>
  <c r="E6" i="6" s="1"/>
  <c r="R6" i="6"/>
  <c r="D6" i="6" s="1"/>
  <c r="V16" i="6"/>
  <c r="E16" i="6" s="1"/>
  <c r="V15" i="6"/>
  <c r="E15" i="6" s="1"/>
  <c r="V14" i="6"/>
  <c r="E14" i="6" s="1"/>
  <c r="V13" i="6"/>
  <c r="E13" i="6" s="1"/>
  <c r="V12" i="6"/>
  <c r="E12" i="6" s="1"/>
  <c r="V11" i="6"/>
  <c r="E11" i="6" s="1"/>
  <c r="V10" i="6"/>
  <c r="E10" i="6" s="1"/>
  <c r="V9" i="6"/>
  <c r="E9" i="6" s="1"/>
  <c r="V8" i="6"/>
  <c r="E8" i="6" s="1"/>
  <c r="V7" i="6"/>
  <c r="E7" i="6" s="1"/>
  <c r="V5" i="6"/>
  <c r="E5" i="6" s="1"/>
  <c r="V4" i="6"/>
  <c r="E4" i="6" s="1"/>
  <c r="V3" i="6"/>
  <c r="E3" i="6" s="1"/>
  <c r="V2" i="6"/>
  <c r="R16" i="6"/>
  <c r="D16" i="6" s="1"/>
  <c r="R15" i="6"/>
  <c r="D15" i="6" s="1"/>
  <c r="R14" i="6"/>
  <c r="D14" i="6" s="1"/>
  <c r="R13" i="6"/>
  <c r="D13" i="6" s="1"/>
  <c r="R12" i="6"/>
  <c r="D12" i="6" s="1"/>
  <c r="R11" i="6"/>
  <c r="D11" i="6" s="1"/>
  <c r="R10" i="6"/>
  <c r="D10" i="6" s="1"/>
  <c r="R9" i="6"/>
  <c r="D9" i="6" s="1"/>
  <c r="R8" i="6"/>
  <c r="D8" i="6" s="1"/>
  <c r="R7" i="6"/>
  <c r="D7" i="6" s="1"/>
  <c r="R5" i="6"/>
  <c r="D5" i="6" s="1"/>
  <c r="R4" i="6"/>
  <c r="D4" i="6" s="1"/>
  <c r="R3" i="6"/>
  <c r="D3" i="6" s="1"/>
  <c r="R2" i="6"/>
  <c r="D2" i="6" s="1"/>
  <c r="AF4" i="3" l="1"/>
  <c r="AF5" i="3"/>
  <c r="AF6" i="3"/>
  <c r="AF7" i="3"/>
  <c r="AF8" i="3"/>
  <c r="AF9" i="3"/>
  <c r="AF10" i="3"/>
  <c r="AF11" i="3"/>
  <c r="AF12" i="3"/>
  <c r="AG12" i="3" s="1"/>
  <c r="AF13" i="3"/>
  <c r="AF14" i="3"/>
  <c r="AF15" i="3"/>
  <c r="AF16" i="3"/>
  <c r="AC4" i="3"/>
  <c r="AJ4" i="3" s="1"/>
  <c r="AC5" i="3"/>
  <c r="AJ5" i="3" s="1"/>
  <c r="AC6" i="3"/>
  <c r="AJ6" i="3" s="1"/>
  <c r="AC7" i="3"/>
  <c r="AJ7" i="3" s="1"/>
  <c r="AC8" i="3"/>
  <c r="AC9" i="3"/>
  <c r="AC10" i="3"/>
  <c r="AJ10" i="3" s="1"/>
  <c r="AC11" i="3"/>
  <c r="AJ11" i="3" s="1"/>
  <c r="AC12" i="3"/>
  <c r="AJ12" i="3" s="1"/>
  <c r="AC13" i="3"/>
  <c r="AJ13" i="3" s="1"/>
  <c r="AC14" i="3"/>
  <c r="AJ14" i="3" s="1"/>
  <c r="AC15" i="3"/>
  <c r="AJ15" i="3" s="1"/>
  <c r="AC16" i="3"/>
  <c r="AJ16" i="3" s="1"/>
  <c r="AF3" i="3"/>
  <c r="AD18" i="1"/>
  <c r="AB18" i="1"/>
  <c r="AD14" i="1"/>
  <c r="AB14" i="1"/>
  <c r="AD13" i="1"/>
  <c r="AB13" i="1"/>
  <c r="AD12" i="1"/>
  <c r="AB12" i="1"/>
  <c r="AD10" i="1"/>
  <c r="AB10" i="1"/>
  <c r="AD9" i="1"/>
  <c r="AB9" i="1"/>
  <c r="AD8" i="1"/>
  <c r="AB8" i="1"/>
  <c r="AD7" i="1"/>
  <c r="AB7" i="1"/>
  <c r="AD6" i="1"/>
  <c r="AB6" i="1"/>
  <c r="Z4" i="1"/>
  <c r="AC3" i="1"/>
  <c r="AM17" i="1" a="1"/>
  <c r="AM17" i="1" s="1"/>
  <c r="H18" i="1"/>
  <c r="J18" i="1" s="1"/>
  <c r="AM18" i="1" a="1"/>
  <c r="AM18" i="1" s="1"/>
  <c r="AG18" i="1"/>
  <c r="V18" i="1"/>
  <c r="P18" i="1"/>
  <c r="X18" i="1"/>
  <c r="R18" i="1"/>
  <c r="AL16" i="3"/>
  <c r="AL15" i="3"/>
  <c r="AL14" i="3"/>
  <c r="AL13" i="3"/>
  <c r="AL12" i="3"/>
  <c r="Z12" i="3"/>
  <c r="Y12" i="3"/>
  <c r="X12" i="3"/>
  <c r="AL11" i="3"/>
  <c r="Z11" i="3"/>
  <c r="Y11" i="3"/>
  <c r="X11" i="3"/>
  <c r="AL10" i="3"/>
  <c r="Z10" i="3"/>
  <c r="Y10" i="3"/>
  <c r="X10" i="3"/>
  <c r="AL9" i="3"/>
  <c r="Z9" i="3"/>
  <c r="Y9" i="3"/>
  <c r="X9" i="3"/>
  <c r="AL8" i="3"/>
  <c r="Z8" i="3"/>
  <c r="Y8" i="3"/>
  <c r="X8" i="3"/>
  <c r="AL7" i="3"/>
  <c r="Z7" i="3"/>
  <c r="Y7" i="3"/>
  <c r="X7" i="3"/>
  <c r="AL6" i="3"/>
  <c r="Z6" i="3"/>
  <c r="Y6" i="3"/>
  <c r="X6" i="3"/>
  <c r="AL5" i="3"/>
  <c r="Z5" i="3"/>
  <c r="Y5" i="3"/>
  <c r="X5" i="3"/>
  <c r="AL4" i="3"/>
  <c r="Z4" i="3"/>
  <c r="Y4" i="3"/>
  <c r="X4" i="3"/>
  <c r="AL3" i="3"/>
  <c r="AC3" i="3"/>
  <c r="AJ3" i="3" s="1"/>
  <c r="Z3" i="3"/>
  <c r="Y3" i="3"/>
  <c r="X3" i="3"/>
  <c r="BA19" i="1"/>
  <c r="AY19" i="1"/>
  <c r="AW19" i="1"/>
  <c r="AU19" i="1"/>
  <c r="AS19" i="1"/>
  <c r="AQ19" i="1"/>
  <c r="G19" i="1"/>
  <c r="A19" i="1"/>
  <c r="Z13" i="3" s="1"/>
  <c r="AM14" i="1" a="1"/>
  <c r="AM14" i="1" s="1"/>
  <c r="AG14" i="1"/>
  <c r="V14" i="1"/>
  <c r="P14" i="1"/>
  <c r="H14" i="1"/>
  <c r="J14" i="1" s="1"/>
  <c r="AG13" i="1"/>
  <c r="V13" i="1"/>
  <c r="P13" i="1"/>
  <c r="H13" i="1"/>
  <c r="J13" i="1" s="1"/>
  <c r="AG12" i="1"/>
  <c r="V12" i="1"/>
  <c r="P12" i="1"/>
  <c r="H12" i="1"/>
  <c r="AI12" i="1" s="1"/>
  <c r="AM11" i="1" a="1"/>
  <c r="AM11" i="1" s="1"/>
  <c r="AM10" i="1" a="1"/>
  <c r="AM10" i="1" s="1"/>
  <c r="AG10" i="1"/>
  <c r="V10" i="1"/>
  <c r="P10" i="1"/>
  <c r="H10" i="1"/>
  <c r="AI10" i="1" s="1"/>
  <c r="AM9" i="1" a="1"/>
  <c r="AM9" i="1" s="1"/>
  <c r="AG9" i="1"/>
  <c r="V9" i="1"/>
  <c r="P9" i="1"/>
  <c r="H9" i="1"/>
  <c r="J9" i="1" s="1"/>
  <c r="AM8" i="1" a="1"/>
  <c r="AM8" i="1" s="1"/>
  <c r="AG8" i="1"/>
  <c r="V8" i="1"/>
  <c r="P8" i="1"/>
  <c r="H8" i="1"/>
  <c r="J8" i="1" s="1"/>
  <c r="AM7" i="1" a="1"/>
  <c r="AM7" i="1" s="1"/>
  <c r="AG7" i="1"/>
  <c r="V7" i="1"/>
  <c r="P7" i="1"/>
  <c r="H7" i="1"/>
  <c r="J7" i="1" s="1"/>
  <c r="AM6" i="1" a="1"/>
  <c r="AM6" i="1" s="1"/>
  <c r="AG6" i="1"/>
  <c r="V6" i="1"/>
  <c r="P6" i="1"/>
  <c r="H6" i="1"/>
  <c r="J6" i="1" s="1"/>
  <c r="AM5" i="1" a="1"/>
  <c r="AM5" i="1" s="1"/>
  <c r="BC4" i="1"/>
  <c r="T4" i="1"/>
  <c r="N4" i="1"/>
  <c r="BD3" i="1"/>
  <c r="W3" i="1"/>
  <c r="Q3" i="1"/>
  <c r="A2" i="1"/>
  <c r="AN15" i="1" l="1" a="1"/>
  <c r="AN15" i="1" s="1"/>
  <c r="AJ15" i="1" a="1"/>
  <c r="AJ15" i="1" s="1"/>
  <c r="AC13" i="1"/>
  <c r="AE13" i="1" s="1"/>
  <c r="AN11" i="1" a="1"/>
  <c r="AN11" i="1" s="1"/>
  <c r="Q9" i="1"/>
  <c r="W12" i="1"/>
  <c r="U7" i="3"/>
  <c r="U12" i="3"/>
  <c r="U5" i="3"/>
  <c r="U16" i="3"/>
  <c r="U8" i="3"/>
  <c r="U11" i="3"/>
  <c r="U3" i="3"/>
  <c r="U6" i="3"/>
  <c r="U9" i="3"/>
  <c r="U10" i="3"/>
  <c r="U13" i="3"/>
  <c r="U15" i="3"/>
  <c r="U4" i="3"/>
  <c r="U14" i="3"/>
  <c r="AD11" i="3"/>
  <c r="AC12" i="1"/>
  <c r="AE12" i="1" s="1"/>
  <c r="AC14" i="1"/>
  <c r="AE14" i="1" s="1"/>
  <c r="AN14" i="1" s="1" a="1"/>
  <c r="AN14" i="1" s="1"/>
  <c r="AC10" i="1"/>
  <c r="AE10" i="1" s="1"/>
  <c r="AN10" i="1" s="1" a="1"/>
  <c r="AN10" i="1" s="1"/>
  <c r="AO10" i="1" s="1"/>
  <c r="AC6" i="1"/>
  <c r="AE6" i="1" s="1"/>
  <c r="AC8" i="1"/>
  <c r="AE8" i="1" s="1"/>
  <c r="AC9" i="1"/>
  <c r="AE9" i="1" s="1"/>
  <c r="AC18" i="1"/>
  <c r="AE18" i="1" s="1"/>
  <c r="AC7" i="1"/>
  <c r="AE7" i="1" s="1"/>
  <c r="AJ17" i="1" a="1"/>
  <c r="AJ17" i="1" s="1"/>
  <c r="AI18" i="1"/>
  <c r="AN17" i="1" a="1"/>
  <c r="AN17" i="1" s="1"/>
  <c r="W18" i="1"/>
  <c r="Y18" i="1" s="1"/>
  <c r="AJ18" i="1"/>
  <c r="AN18" i="1" a="1"/>
  <c r="AN18" i="1" s="1"/>
  <c r="AO18" i="1" s="1"/>
  <c r="L18" i="1"/>
  <c r="AM13" i="3"/>
  <c r="AM14" i="3"/>
  <c r="Q18" i="1"/>
  <c r="S18" i="1" s="1"/>
  <c r="AM15" i="3"/>
  <c r="AM16" i="3"/>
  <c r="K18" i="1"/>
  <c r="AI8" i="1"/>
  <c r="AI13" i="1"/>
  <c r="Q10" i="1"/>
  <c r="J10" i="1"/>
  <c r="L10" i="1" s="1"/>
  <c r="AJ5" i="1" a="1"/>
  <c r="AJ5" i="1" s="1"/>
  <c r="Z16" i="3"/>
  <c r="AI14" i="1"/>
  <c r="Y15" i="3"/>
  <c r="H19" i="1"/>
  <c r="AI6" i="1"/>
  <c r="Q8" i="1"/>
  <c r="X14" i="3"/>
  <c r="Q6" i="1"/>
  <c r="Q13" i="1"/>
  <c r="W7" i="1"/>
  <c r="W9" i="1"/>
  <c r="W13" i="1"/>
  <c r="L14" i="1"/>
  <c r="X10" i="1"/>
  <c r="X8" i="1"/>
  <c r="X6" i="1"/>
  <c r="X14" i="1"/>
  <c r="X13" i="1"/>
  <c r="X9" i="1"/>
  <c r="X12" i="1"/>
  <c r="X7" i="1"/>
  <c r="L13" i="1"/>
  <c r="L7" i="1"/>
  <c r="L9" i="1"/>
  <c r="R12" i="1"/>
  <c r="R8" i="1"/>
  <c r="R10" i="1"/>
  <c r="R6" i="1"/>
  <c r="R14" i="1"/>
  <c r="R13" i="1"/>
  <c r="R9" i="1"/>
  <c r="R7" i="1"/>
  <c r="AM12" i="1" a="1"/>
  <c r="AM12" i="1" s="1"/>
  <c r="K14" i="1"/>
  <c r="AJ9" i="3"/>
  <c r="K6" i="1"/>
  <c r="AI7" i="1"/>
  <c r="K8" i="1"/>
  <c r="AI9" i="1"/>
  <c r="K10" i="1"/>
  <c r="J12" i="1"/>
  <c r="AJ8" i="3"/>
  <c r="L6" i="1"/>
  <c r="AJ7" i="1"/>
  <c r="L8" i="1"/>
  <c r="K12" i="1"/>
  <c r="X16" i="3"/>
  <c r="AJ9" i="1"/>
  <c r="AM4" i="3" s="1"/>
  <c r="AJ13" i="1"/>
  <c r="AM11" i="3" s="1"/>
  <c r="Q14" i="1"/>
  <c r="X15" i="3"/>
  <c r="Y16" i="3"/>
  <c r="X13" i="3"/>
  <c r="Y14" i="3"/>
  <c r="Z15" i="3"/>
  <c r="K7" i="1"/>
  <c r="K9" i="1"/>
  <c r="Y13" i="3"/>
  <c r="Z14" i="3"/>
  <c r="AJ11" i="1" a="1"/>
  <c r="AJ11" i="1" s="1"/>
  <c r="Q12" i="1"/>
  <c r="AJ14" i="1"/>
  <c r="AM12" i="3" s="1"/>
  <c r="AN5" i="1" a="1"/>
  <c r="AN5" i="1" s="1"/>
  <c r="W6" i="1"/>
  <c r="W8" i="1"/>
  <c r="W10" i="1"/>
  <c r="AJ12" i="1"/>
  <c r="AM5" i="3" s="1"/>
  <c r="AJ6" i="1"/>
  <c r="AM3" i="3" s="1"/>
  <c r="AJ8" i="1"/>
  <c r="AJ10" i="1"/>
  <c r="K13" i="1"/>
  <c r="W14" i="1"/>
  <c r="Q7" i="1"/>
  <c r="Y12" i="1" l="1"/>
  <c r="S9" i="1"/>
  <c r="V10" i="3"/>
  <c r="W10" i="3"/>
  <c r="V9" i="3"/>
  <c r="W9" i="3"/>
  <c r="W6" i="3"/>
  <c r="V6" i="3"/>
  <c r="W3" i="3"/>
  <c r="V3" i="3"/>
  <c r="AA3" i="3" s="1"/>
  <c r="AB3" i="3" s="1"/>
  <c r="V11" i="3"/>
  <c r="W11" i="3"/>
  <c r="W8" i="3"/>
  <c r="V8" i="3"/>
  <c r="W14" i="3"/>
  <c r="V14" i="3"/>
  <c r="W16" i="3"/>
  <c r="V16" i="3"/>
  <c r="W4" i="3"/>
  <c r="V4" i="3"/>
  <c r="W5" i="3"/>
  <c r="V5" i="3"/>
  <c r="W15" i="3"/>
  <c r="V15" i="3"/>
  <c r="V12" i="3"/>
  <c r="AA12" i="3" s="1"/>
  <c r="AB12" i="3" s="1"/>
  <c r="W12" i="3"/>
  <c r="W13" i="3"/>
  <c r="V13" i="3"/>
  <c r="W7" i="3"/>
  <c r="V7" i="3"/>
  <c r="AD10" i="3"/>
  <c r="AD5" i="3"/>
  <c r="AD6" i="3"/>
  <c r="AD7" i="3"/>
  <c r="AD8" i="3"/>
  <c r="AD9" i="3"/>
  <c r="AP18" i="1"/>
  <c r="AM9" i="3"/>
  <c r="AM6" i="3"/>
  <c r="AM10" i="3"/>
  <c r="AO14" i="1"/>
  <c r="Y8" i="1"/>
  <c r="AN8" i="1" s="1" a="1"/>
  <c r="AN8" i="1" s="1"/>
  <c r="AO8" i="1" s="1"/>
  <c r="AM7" i="3"/>
  <c r="AM8" i="3"/>
  <c r="S10" i="1"/>
  <c r="S13" i="1"/>
  <c r="AN13" i="1" s="1" a="1"/>
  <c r="AN13" i="1" s="1"/>
  <c r="AO13" i="1" s="1"/>
  <c r="Y13" i="1"/>
  <c r="Y6" i="1"/>
  <c r="AN6" i="1" s="1" a="1"/>
  <c r="AN6" i="1" s="1"/>
  <c r="AO6" i="1" s="1"/>
  <c r="S6" i="1"/>
  <c r="Y14" i="1"/>
  <c r="Y7" i="1"/>
  <c r="AN7" i="1" s="1" a="1"/>
  <c r="AN7" i="1" s="1"/>
  <c r="AO7" i="1" s="1"/>
  <c r="S8" i="1"/>
  <c r="Y10" i="1"/>
  <c r="Y9" i="1"/>
  <c r="AN9" i="1" s="1" a="1"/>
  <c r="AN9" i="1" s="1"/>
  <c r="AO9" i="1" s="1"/>
  <c r="S7" i="1"/>
  <c r="S14" i="1"/>
  <c r="AP14" i="1"/>
  <c r="L12" i="1"/>
  <c r="AP10" i="1"/>
  <c r="S12" i="1"/>
  <c r="AN12" i="1" s="1" a="1"/>
  <c r="AN12" i="1" s="1"/>
  <c r="AO12" i="1" s="1"/>
  <c r="AP12" i="1" l="1"/>
  <c r="AP7" i="1"/>
  <c r="AP8" i="1"/>
  <c r="AP6" i="1"/>
  <c r="AP9" i="1"/>
  <c r="AE12" i="3"/>
  <c r="AH12" i="3" s="1"/>
  <c r="AP13" i="1"/>
  <c r="AA9" i="3"/>
  <c r="AB9" i="3" s="1"/>
  <c r="AE9" i="3" s="1"/>
  <c r="AG9" i="3"/>
  <c r="AA15" i="3"/>
  <c r="AB15" i="3" s="1"/>
  <c r="AE15" i="3" s="1"/>
  <c r="AG15" i="3"/>
  <c r="AG13" i="3"/>
  <c r="AA13" i="3"/>
  <c r="AB13" i="3" s="1"/>
  <c r="AE13" i="3" s="1"/>
  <c r="AA8" i="3"/>
  <c r="AB8" i="3" s="1"/>
  <c r="AE8" i="3" s="1"/>
  <c r="AG8" i="3"/>
  <c r="AG14" i="3"/>
  <c r="AA14" i="3"/>
  <c r="AB14" i="3" s="1"/>
  <c r="AE14" i="3" s="1"/>
  <c r="AA5" i="3"/>
  <c r="AB5" i="3" s="1"/>
  <c r="AE5" i="3" s="1"/>
  <c r="AG5" i="3"/>
  <c r="AG10" i="3"/>
  <c r="AA10" i="3"/>
  <c r="AB10" i="3" s="1"/>
  <c r="AE10" i="3" s="1"/>
  <c r="AA7" i="3"/>
  <c r="AB7" i="3" s="1"/>
  <c r="AE7" i="3" s="1"/>
  <c r="AG7" i="3"/>
  <c r="AG4" i="3"/>
  <c r="AA4" i="3"/>
  <c r="AB4" i="3" s="1"/>
  <c r="AE4" i="3" s="1"/>
  <c r="AG11" i="3"/>
  <c r="AA11" i="3"/>
  <c r="AB11" i="3" s="1"/>
  <c r="AE11" i="3" s="1"/>
  <c r="AA6" i="3"/>
  <c r="AB6" i="3" s="1"/>
  <c r="AE6" i="3" s="1"/>
  <c r="AG6" i="3"/>
  <c r="AA16" i="3"/>
  <c r="AB16" i="3" s="1"/>
  <c r="AE16" i="3" s="1"/>
  <c r="AG16" i="3"/>
  <c r="AE3" i="3"/>
  <c r="AG3" i="3"/>
  <c r="AI12" i="3" l="1"/>
  <c r="AK12" i="3"/>
  <c r="AN12" i="3"/>
  <c r="AH14" i="3"/>
  <c r="AI14" i="3" s="1"/>
  <c r="AH11" i="3"/>
  <c r="AI11" i="3" s="1"/>
  <c r="AH13" i="3"/>
  <c r="AI13" i="3" s="1"/>
  <c r="AH8" i="3"/>
  <c r="AI8" i="3" s="1"/>
  <c r="AH3" i="3"/>
  <c r="AK3" i="3" s="1"/>
  <c r="AH15" i="3"/>
  <c r="AN15" i="3" s="1"/>
  <c r="AH16" i="3"/>
  <c r="AI16" i="3" s="1"/>
  <c r="AH4" i="3"/>
  <c r="AH7" i="3"/>
  <c r="AH10" i="3"/>
  <c r="AN10" i="3" s="1"/>
  <c r="AH6" i="3"/>
  <c r="AN6" i="3" s="1"/>
  <c r="AH5" i="3"/>
  <c r="AH9" i="3"/>
  <c r="AK14" i="3" l="1"/>
  <c r="AI3" i="3"/>
  <c r="AK11" i="3"/>
  <c r="AN14" i="3"/>
  <c r="AK16" i="3"/>
  <c r="AN16" i="3"/>
  <c r="AN13" i="3"/>
  <c r="AN11" i="3"/>
  <c r="AK13" i="3"/>
  <c r="AN8" i="3"/>
  <c r="AN3" i="3"/>
  <c r="AK8" i="3"/>
  <c r="AI15" i="3"/>
  <c r="AK15" i="3"/>
  <c r="AI5" i="3"/>
  <c r="AK5" i="3"/>
  <c r="AI4" i="3"/>
  <c r="AK4" i="3"/>
  <c r="AN4" i="3"/>
  <c r="AI9" i="3"/>
  <c r="AK9" i="3"/>
  <c r="AI6" i="3"/>
  <c r="AK6" i="3"/>
  <c r="AI10" i="3"/>
  <c r="AK10" i="3"/>
  <c r="AN5" i="3"/>
  <c r="AI7" i="3"/>
  <c r="AK7" i="3"/>
  <c r="AN7" i="3"/>
  <c r="AN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F2" authorId="0" shapeId="0" xr:uid="{00000000-0006-0000-0200-000001000000}">
      <text>
        <r>
          <rPr>
            <sz val="11"/>
            <color theme="1"/>
            <rFont val="Calibri"/>
            <family val="2"/>
            <charset val="1"/>
          </rPr>
          <t>Don’t touch the columns in grey.</t>
        </r>
      </text>
    </comment>
    <comment ref="I2" authorId="0" shapeId="0" xr:uid="{00000000-0006-0000-0200-000002000000}">
      <text>
        <r>
          <rPr>
            <sz val="11"/>
            <color theme="1"/>
            <rFont val="Calibri"/>
            <family val="2"/>
            <charset val="1"/>
          </rPr>
          <t>Don’t touch the columns in grey.</t>
        </r>
      </text>
    </comment>
    <comment ref="J2" authorId="0" shapeId="0" xr:uid="{00000000-0006-0000-0200-000003000000}">
      <text>
        <r>
          <rPr>
            <sz val="11"/>
            <color theme="1"/>
            <rFont val="Calibri"/>
            <family val="2"/>
            <charset val="1"/>
          </rPr>
          <t>Put the letter X in this column for any items that have split info.
Then refresh this table.</t>
        </r>
      </text>
    </comment>
  </commentList>
</comments>
</file>

<file path=xl/sharedStrings.xml><?xml version="1.0" encoding="utf-8"?>
<sst xmlns="http://schemas.openxmlformats.org/spreadsheetml/2006/main" count="439" uniqueCount="322">
  <si>
    <t>Reebok WM</t>
  </si>
  <si>
    <t>Mens</t>
  </si>
  <si>
    <t>Q3 2026</t>
  </si>
  <si>
    <t>Order Confirmation</t>
  </si>
  <si>
    <t>Placement Date 4/11/25</t>
  </si>
  <si>
    <t>Projections</t>
  </si>
  <si>
    <t>Buysheets</t>
  </si>
  <si>
    <t>REPEAT STYLE    (TRADING COMPANY - MOST RECENT COMPLETE STYLE # - PO TERM (FOB or FCA) - FOB &amp; LDP PRICE (For FCA, no need LDP) - C/O CODE)</t>
  </si>
  <si>
    <t>VENDOR COMMENTS</t>
  </si>
  <si>
    <t>HL COMMENTS</t>
  </si>
  <si>
    <t>HL Style Update 08/05</t>
  </si>
  <si>
    <t>FIRST SALE</t>
  </si>
  <si>
    <t>FOB</t>
  </si>
  <si>
    <t>CIF</t>
  </si>
  <si>
    <t>Vendor Code</t>
  </si>
  <si>
    <t>USA</t>
  </si>
  <si>
    <t>Hanging</t>
  </si>
  <si>
    <t>KH</t>
  </si>
  <si>
    <t>ID</t>
  </si>
  <si>
    <t>JD</t>
  </si>
  <si>
    <t>Style #</t>
  </si>
  <si>
    <t>Style Note / Category</t>
  </si>
  <si>
    <t>Style Name</t>
  </si>
  <si>
    <t>Main Fabrication</t>
  </si>
  <si>
    <t>Proj Qty</t>
  </si>
  <si>
    <t>Actual Qty</t>
  </si>
  <si>
    <t>Proj Sell Price</t>
  </si>
  <si>
    <t>Actual Avg Sell Price</t>
  </si>
  <si>
    <t>Projected Target LDP</t>
  </si>
  <si>
    <t>Actual Avg Target LDP</t>
  </si>
  <si>
    <t>Duty Rate</t>
  </si>
  <si>
    <t>Est Base Freight</t>
  </si>
  <si>
    <t>Special Packaging</t>
  </si>
  <si>
    <t>Factory Cost (if)</t>
  </si>
  <si>
    <t>Trading Company MU</t>
  </si>
  <si>
    <t>Proj Duty</t>
  </si>
  <si>
    <t>Proj TTL Freight</t>
  </si>
  <si>
    <t>Est LDP</t>
  </si>
  <si>
    <t>Style Number</t>
  </si>
  <si>
    <t>Trading Company</t>
  </si>
  <si>
    <t>Total Qty</t>
  </si>
  <si>
    <t>Confirmed FOB</t>
  </si>
  <si>
    <t>SAP Factory</t>
  </si>
  <si>
    <t>Check</t>
  </si>
  <si>
    <t>Confirmed Factory Cost</t>
  </si>
  <si>
    <t>Projected MU%</t>
  </si>
  <si>
    <t>Buysheet MU%</t>
  </si>
  <si>
    <t>Ross Units</t>
  </si>
  <si>
    <t>Ross Sell</t>
  </si>
  <si>
    <t>TJX Units</t>
  </si>
  <si>
    <t>TJX Sell</t>
  </si>
  <si>
    <t>Marshalls Units</t>
  </si>
  <si>
    <t>Marshalls Sell</t>
  </si>
  <si>
    <t>BCF Units</t>
  </si>
  <si>
    <t>BCF Sell</t>
  </si>
  <si>
    <t>Winners Units</t>
  </si>
  <si>
    <t>Winners Sell</t>
  </si>
  <si>
    <t>DDs Units</t>
  </si>
  <si>
    <t>DDs Sell</t>
  </si>
  <si>
    <t>HLK0039 - 88% POLYESTER / 12% SPANDEX  -  MARLED JERSEY - 280 GSM</t>
  </si>
  <si>
    <t>$7.10/kg</t>
  </si>
  <si>
    <t>HEW243TL01C</t>
  </si>
  <si>
    <t>Set</t>
  </si>
  <si>
    <t>Running Short</t>
  </si>
  <si>
    <t>GM - ID</t>
  </si>
  <si>
    <t>CONUSMMATE - GAW202BR03- FOB - $5.00 - LDP $5.82 - CN</t>
  </si>
  <si>
    <t>Top</t>
  </si>
  <si>
    <t>Bottom</t>
  </si>
  <si>
    <t>CPM253FC07</t>
  </si>
  <si>
    <t>AOP -Short</t>
  </si>
  <si>
    <t>Woven Short</t>
  </si>
  <si>
    <t>opt2- Short</t>
  </si>
  <si>
    <t>ML - JD</t>
  </si>
  <si>
    <t xml:space="preserve">HLK0041 - 60% Cotton / 40% Poly -  JERSEY -280 GSM </t>
  </si>
  <si>
    <t>CPM253FC17</t>
  </si>
  <si>
    <t>Full Zip</t>
  </si>
  <si>
    <t>Champion Full Zip Hoodie</t>
  </si>
  <si>
    <t>AZ - KH</t>
  </si>
  <si>
    <t>Y</t>
  </si>
  <si>
    <t>CPM253FC08</t>
  </si>
  <si>
    <t>Jacket</t>
  </si>
  <si>
    <t>Champion Jacket</t>
  </si>
  <si>
    <t>CPM253FC10</t>
  </si>
  <si>
    <t>Fleece</t>
  </si>
  <si>
    <t>Champion Fleece</t>
  </si>
  <si>
    <t xml:space="preserve">BRAND </t>
  </si>
  <si>
    <t>DIVISION</t>
  </si>
  <si>
    <t>SEASON</t>
  </si>
  <si>
    <t>Cost Request From Sales</t>
  </si>
  <si>
    <t>Tech Pack Ready Date</t>
  </si>
  <si>
    <t>Fabric Quality/ Reference SENT:</t>
  </si>
  <si>
    <t>Costing Request To Vendor</t>
  </si>
  <si>
    <t>Costing-Vendor Due Date</t>
  </si>
  <si>
    <t>Costing - Receive Date from Vendor</t>
  </si>
  <si>
    <t>Cost Review Date - Chris</t>
  </si>
  <si>
    <t>COMMENTS</t>
  </si>
  <si>
    <t>Q1/25 Previous Year Record</t>
  </si>
  <si>
    <t>DATE</t>
  </si>
  <si>
    <t>Prebuy received from Sales</t>
  </si>
  <si>
    <t>WALMART Bulk units received from Joey/Planning + %</t>
  </si>
  <si>
    <t>WALMART Color/size BD received</t>
  </si>
  <si>
    <t>WALMART Final ADS</t>
  </si>
  <si>
    <t>Buysheet received from Operations</t>
  </si>
  <si>
    <t>Vendor CRD/CAMBODIA  1st to last</t>
  </si>
  <si>
    <t>Sales CRD/CAMBODIA  1st to last</t>
  </si>
  <si>
    <t>Vendor CRD/CHINA 1st to last</t>
  </si>
  <si>
    <t xml:space="preserve">Sales CRD/CHINA 1st to last </t>
  </si>
  <si>
    <t>Paste From Buysheet Production Tab</t>
  </si>
  <si>
    <t>Mandatory</t>
  </si>
  <si>
    <t>Variables</t>
  </si>
  <si>
    <t>Formulas</t>
  </si>
  <si>
    <t>CUSTOMER</t>
  </si>
  <si>
    <t>CRD</t>
  </si>
  <si>
    <t>DELIVERY</t>
  </si>
  <si>
    <t>REQ#</t>
  </si>
  <si>
    <t>PO#</t>
  </si>
  <si>
    <t>Price</t>
  </si>
  <si>
    <t>QTY</t>
  </si>
  <si>
    <t>GENERIC</t>
  </si>
  <si>
    <t>Color Desc</t>
  </si>
  <si>
    <t>Split by Color</t>
  </si>
  <si>
    <t>Vendor</t>
  </si>
  <si>
    <t>Factory</t>
  </si>
  <si>
    <t>Term</t>
  </si>
  <si>
    <t>Production Notes</t>
  </si>
  <si>
    <t>Packing</t>
  </si>
  <si>
    <t>Packing Cost</t>
  </si>
  <si>
    <t>Size Range</t>
  </si>
  <si>
    <t>First Sale Variable</t>
  </si>
  <si>
    <t>Vendor2</t>
  </si>
  <si>
    <t>COO</t>
  </si>
  <si>
    <t>Trade Company</t>
  </si>
  <si>
    <t>Product Category</t>
  </si>
  <si>
    <t>Description</t>
  </si>
  <si>
    <t>MAIN FABRICATION</t>
  </si>
  <si>
    <t>Additional Tariff</t>
  </si>
  <si>
    <t>Final Duty</t>
  </si>
  <si>
    <t>FINAL PO FOB</t>
  </si>
  <si>
    <t>First Sale</t>
  </si>
  <si>
    <t>Duty Amount</t>
  </si>
  <si>
    <t>Freight</t>
  </si>
  <si>
    <t>Total Freight</t>
  </si>
  <si>
    <t>HL LDP</t>
  </si>
  <si>
    <t>MU%</t>
  </si>
  <si>
    <t>Total FOB</t>
  </si>
  <si>
    <t>Total LDP</t>
  </si>
  <si>
    <t>Total SELL</t>
  </si>
  <si>
    <t>FOB Pre Costing</t>
  </si>
  <si>
    <t>LDP Checker</t>
  </si>
  <si>
    <t>COSTCO CA COMPLEX EC</t>
  </si>
  <si>
    <t>COSTCO CA COMPLEX WC</t>
  </si>
  <si>
    <t>COSTCO CA ECOM</t>
  </si>
  <si>
    <t>COSTCO CA ECOM plus</t>
  </si>
  <si>
    <t>Wal Mart</t>
  </si>
  <si>
    <t>Off Price</t>
  </si>
  <si>
    <t>Target</t>
  </si>
  <si>
    <t>Guomao - ID</t>
  </si>
  <si>
    <t>Amazing Space - CN</t>
  </si>
  <si>
    <t>Morelands - JD</t>
  </si>
  <si>
    <t>abrv</t>
  </si>
  <si>
    <t>CANADA</t>
  </si>
  <si>
    <t>NY</t>
  </si>
  <si>
    <t>LA</t>
  </si>
  <si>
    <t>LA%</t>
  </si>
  <si>
    <t>TRADING COMPANY</t>
  </si>
  <si>
    <t>Packing Type</t>
  </si>
  <si>
    <t>Cost</t>
  </si>
  <si>
    <t>Program</t>
  </si>
  <si>
    <t>BANGLADESH</t>
  </si>
  <si>
    <t>BD</t>
  </si>
  <si>
    <t>AZ - CN</t>
  </si>
  <si>
    <t>Fold</t>
  </si>
  <si>
    <t>And1 WM</t>
  </si>
  <si>
    <t>CAMBODIA</t>
  </si>
  <si>
    <t>Hang Top</t>
  </si>
  <si>
    <t>Plus</t>
  </si>
  <si>
    <t>Champion Amazon</t>
  </si>
  <si>
    <t>Duty Free</t>
  </si>
  <si>
    <t>CHINA</t>
  </si>
  <si>
    <t>CN</t>
  </si>
  <si>
    <t>Hang Bottom</t>
  </si>
  <si>
    <t>Petite</t>
  </si>
  <si>
    <t>Champion Clubs</t>
  </si>
  <si>
    <t>FCA</t>
  </si>
  <si>
    <t>EGYPT</t>
  </si>
  <si>
    <t>EG</t>
  </si>
  <si>
    <t>Bellyband</t>
  </si>
  <si>
    <t>Champion MT</t>
  </si>
  <si>
    <t>ETHIOPIA</t>
  </si>
  <si>
    <t>ET</t>
  </si>
  <si>
    <t>RFID</t>
  </si>
  <si>
    <t>Champion OP</t>
  </si>
  <si>
    <t>INDONESIA</t>
  </si>
  <si>
    <t>Pallet</t>
  </si>
  <si>
    <t>Champion TG</t>
  </si>
  <si>
    <t>Haiti</t>
  </si>
  <si>
    <t>HT</t>
  </si>
  <si>
    <t>HAITI</t>
  </si>
  <si>
    <t>Champion WM</t>
  </si>
  <si>
    <t>JORDAN</t>
  </si>
  <si>
    <t>CS</t>
  </si>
  <si>
    <t>Consummate</t>
  </si>
  <si>
    <t>Gaiaim WM</t>
  </si>
  <si>
    <t>KENYA</t>
  </si>
  <si>
    <t>KY</t>
  </si>
  <si>
    <t>EG - PK</t>
  </si>
  <si>
    <t>Eastern Garment - PK</t>
  </si>
  <si>
    <t>Gaiam Clubs</t>
  </si>
  <si>
    <t>LESOTHO</t>
  </si>
  <si>
    <t>LS</t>
  </si>
  <si>
    <t>Gaiam OP</t>
  </si>
  <si>
    <t>PAKISTAN</t>
  </si>
  <si>
    <t>PK</t>
  </si>
  <si>
    <t>Head Clubs</t>
  </si>
  <si>
    <t>THAILAND</t>
  </si>
  <si>
    <t>TH</t>
  </si>
  <si>
    <t>GM - KH</t>
  </si>
  <si>
    <t>Guomao - KH</t>
  </si>
  <si>
    <t>Head OP</t>
  </si>
  <si>
    <t>TURKEY</t>
  </si>
  <si>
    <t>TK</t>
  </si>
  <si>
    <t>GM - VN</t>
  </si>
  <si>
    <t>Guomao - VN</t>
  </si>
  <si>
    <t>Other</t>
  </si>
  <si>
    <t>VIETNAM</t>
  </si>
  <si>
    <t>VN</t>
  </si>
  <si>
    <t>GU - KH</t>
  </si>
  <si>
    <t>Great Union - KH</t>
  </si>
  <si>
    <t>Reebok Amazon</t>
  </si>
  <si>
    <t>BASELINE '2020</t>
  </si>
  <si>
    <t>GU - KY</t>
  </si>
  <si>
    <t>Great Union - KY</t>
  </si>
  <si>
    <t>Reebok Clubs</t>
  </si>
  <si>
    <t>TORONTO</t>
  </si>
  <si>
    <t>VANCOUVER</t>
  </si>
  <si>
    <t>VANCOUVER %</t>
  </si>
  <si>
    <t>HNM - PK</t>
  </si>
  <si>
    <t>Reebok MT</t>
  </si>
  <si>
    <t>HR - CN</t>
  </si>
  <si>
    <t>Hongren - CN</t>
  </si>
  <si>
    <t>Reebok OP</t>
  </si>
  <si>
    <t>HR - KH</t>
  </si>
  <si>
    <t>Hongren - KH</t>
  </si>
  <si>
    <t>HS - ID</t>
  </si>
  <si>
    <t>Hansae - ID</t>
  </si>
  <si>
    <t>HS - KH</t>
  </si>
  <si>
    <t>Hansae - KH</t>
  </si>
  <si>
    <t>HS - VN</t>
  </si>
  <si>
    <t>Hansae - VN</t>
  </si>
  <si>
    <t>KT</t>
  </si>
  <si>
    <t>KT Group</t>
  </si>
  <si>
    <t>production</t>
  </si>
  <si>
    <t>LY - KH</t>
  </si>
  <si>
    <t>Liyang - KH</t>
  </si>
  <si>
    <t>MK - ID</t>
  </si>
  <si>
    <t>Makalot - ID</t>
  </si>
  <si>
    <t>MK - VN</t>
  </si>
  <si>
    <t>Makalot - VN</t>
  </si>
  <si>
    <t>MK- KH</t>
  </si>
  <si>
    <t>Makalot - KH</t>
  </si>
  <si>
    <t>ML - KH</t>
  </si>
  <si>
    <t>Morelands - KH</t>
  </si>
  <si>
    <t>RL - KH</t>
  </si>
  <si>
    <t>Reliance - KH</t>
  </si>
  <si>
    <t>SEMI</t>
  </si>
  <si>
    <t>Semisphere</t>
  </si>
  <si>
    <t>SHK - KH</t>
  </si>
  <si>
    <t>SHK - VN</t>
  </si>
  <si>
    <t>SHK - ID</t>
  </si>
  <si>
    <t>SW - ID</t>
  </si>
  <si>
    <t>Shinwon - ID</t>
  </si>
  <si>
    <t>SW - KH</t>
  </si>
  <si>
    <t>Shinwon - KH</t>
  </si>
  <si>
    <t>SW - VN</t>
  </si>
  <si>
    <t>Shinwon - VN</t>
  </si>
  <si>
    <t>TB - ID</t>
  </si>
  <si>
    <t>Twobees - ID</t>
  </si>
  <si>
    <t>TB - KH</t>
  </si>
  <si>
    <t>Twobees - KH</t>
  </si>
  <si>
    <t>TF - TH</t>
  </si>
  <si>
    <t>TopForm - TH</t>
  </si>
  <si>
    <t>TL - CN</t>
  </si>
  <si>
    <t>Talent - CN</t>
  </si>
  <si>
    <t>TL - KH</t>
  </si>
  <si>
    <t>Talent - KH</t>
  </si>
  <si>
    <t>TX - ES</t>
  </si>
  <si>
    <t>Texray - Eswatini</t>
  </si>
  <si>
    <t>TY - KH</t>
  </si>
  <si>
    <t>Taieasy - KH</t>
  </si>
  <si>
    <t>UNI - TH</t>
  </si>
  <si>
    <t>Universal - TH</t>
  </si>
  <si>
    <t>WB - HT</t>
  </si>
  <si>
    <t>Willbes - HT</t>
  </si>
  <si>
    <t>WB - ID</t>
  </si>
  <si>
    <t>Willbes - ID</t>
  </si>
  <si>
    <t>WBG</t>
  </si>
  <si>
    <t>WorldBest</t>
  </si>
  <si>
    <t>WD - CN</t>
  </si>
  <si>
    <t>Windeson - CN</t>
  </si>
  <si>
    <t>WD - KH</t>
  </si>
  <si>
    <t>Windeson - KH</t>
  </si>
  <si>
    <t>WD - LS</t>
  </si>
  <si>
    <t>Windeson - LS</t>
  </si>
  <si>
    <t>YT - KH</t>
  </si>
  <si>
    <t>Yuenthai - KH</t>
  </si>
  <si>
    <t>YT - TH</t>
  </si>
  <si>
    <t>Yuenthai - TH</t>
  </si>
  <si>
    <t>New Fabric Code</t>
  </si>
  <si>
    <t>Don’t delete the row or data below this row</t>
  </si>
  <si>
    <t>Sales Freight Tool</t>
  </si>
  <si>
    <t>Amazing Space - KH</t>
  </si>
  <si>
    <t>FHD - KH</t>
  </si>
  <si>
    <t>Federal Home Depot - KH</t>
  </si>
  <si>
    <t>ESWATINI</t>
  </si>
  <si>
    <t>ES</t>
  </si>
  <si>
    <t>%</t>
  </si>
  <si>
    <t>NY %</t>
  </si>
  <si>
    <t>TORNOTO %</t>
  </si>
  <si>
    <t>Baseline 2020</t>
  </si>
  <si>
    <t>NY%</t>
  </si>
  <si>
    <t>TORONTO %</t>
  </si>
  <si>
    <t>VANCOUVER%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</si>
</sst>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\$#,##0.00_);&quot;($&quot;#,##0.00\)"/>
    <numFmt numFmtId="165" formatCode="\$#,##0.00"/>
    <numFmt numFmtId="166" formatCode="0.0%"/>
    <numFmt numFmtId="167" formatCode="m/d/yy;@"/>
    <numFmt numFmtId="168" formatCode="m/d/yyyy"/>
    <numFmt numFmtId="169" formatCode="_(* #,##0_);_(* \(#,##0\);_(* \-??_);_(@_)"/>
    <numFmt numFmtId="170" formatCode="_(\$* #,##0.00_);_(\$* \(#,##0.00\);_(\$* \-??_);_(@_)"/>
    <numFmt numFmtId="171" formatCode="_(* #,##0.00_);_(* \(#,##0.00\);_(* \-??_);_(@_)"/>
    <numFmt numFmtId="172" formatCode="_(* #,##0.000_);_(* \(#,##0.000\);_(* \-??_);_(@_)"/>
    <numFmt numFmtId="173" formatCode="\$#,##0_);[Red]&quot;($&quot;#,##0\)"/>
    <numFmt numFmtId="174" formatCode="_(\$* #,##0_);_(\$* \(#,##0\);_(\$* \-??_);_(@_)"/>
    <numFmt numFmtId="175" formatCode="\+0.0%;\-0.0%;\-"/>
    <numFmt numFmtId="176" formatCode="_(* #,##0_);_(* \(#,##0\);_(* &quot;-&quot;??_);_(@_)"/>
  </numFmts>
  <fonts count="63">
    <font>
      <sz val="11"/>
      <color theme="1"/>
      <name val="Calibri"/>
      <family val="2"/>
      <charset val="1"/>
    </font>
    <font>
      <sz val="10"/>
      <name val="Arial"/>
      <family val="2"/>
      <charset val="1"/>
    </font>
    <font>
      <sz val="11"/>
      <color rgb="FF000000"/>
      <name val="Tahoma"/>
      <family val="2"/>
      <charset val="1"/>
    </font>
    <font>
      <sz val="12"/>
      <color theme="1"/>
      <name val="Calibri"/>
      <family val="2"/>
      <charset val="1"/>
    </font>
    <font>
      <sz val="12"/>
      <color rgb="FF000000"/>
      <name val="Tahoma"/>
      <family val="2"/>
      <charset val="1"/>
    </font>
    <font>
      <sz val="11"/>
      <color rgb="FF000000"/>
      <name val="Calibri"/>
      <family val="2"/>
      <charset val="1"/>
    </font>
    <font>
      <sz val="11"/>
      <color theme="1"/>
      <name val="Tahoma"/>
      <family val="2"/>
      <charset val="1"/>
    </font>
    <font>
      <sz val="12"/>
      <color theme="1"/>
      <name val="Tahoma"/>
      <family val="2"/>
      <charset val="1"/>
    </font>
    <font>
      <sz val="10"/>
      <name val="Verdana"/>
      <family val="2"/>
      <charset val="1"/>
    </font>
    <font>
      <sz val="12"/>
      <name val="Times New Roman"/>
      <family val="1"/>
      <charset val="1"/>
    </font>
    <font>
      <sz val="10"/>
      <name val="Verdana"/>
      <family val="2"/>
      <charset val="134"/>
    </font>
    <font>
      <sz val="11"/>
      <color rgb="FF000000"/>
      <name val="宋体"/>
      <charset val="134"/>
    </font>
    <font>
      <sz val="11"/>
      <color rgb="FF000000"/>
      <name val="宋体"/>
      <family val="3"/>
      <charset val="134"/>
    </font>
    <font>
      <sz val="11"/>
      <color rgb="FF000000"/>
      <name val="宋体"/>
      <family val="3"/>
      <charset val="136"/>
    </font>
    <font>
      <b/>
      <sz val="9"/>
      <color rgb="FFFFFFFF"/>
      <name val="Arial"/>
      <family val="2"/>
    </font>
    <font>
      <sz val="9"/>
      <color theme="1"/>
      <name val="Calibri"/>
      <family val="2"/>
      <charset val="1"/>
    </font>
    <font>
      <i/>
      <sz val="9"/>
      <color rgb="FFAAB7B8"/>
      <name val="Arial"/>
      <family val="2"/>
    </font>
    <font>
      <b/>
      <sz val="11"/>
      <color theme="1"/>
      <name val="Arial"/>
      <family val="2"/>
    </font>
    <font>
      <b/>
      <sz val="11"/>
      <color rgb="FFE26B0A"/>
      <name val="Arial"/>
      <family val="2"/>
    </font>
    <font>
      <b/>
      <sz val="11"/>
      <color rgb="FF0070C0"/>
      <name val="Arial"/>
      <family val="2"/>
    </font>
    <font>
      <b/>
      <sz val="11"/>
      <color rgb="FF7030A0"/>
      <name val="Arial"/>
      <family val="2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1"/>
      <color theme="3" tint="-0.249977111117893"/>
      <name val="Arial"/>
      <family val="2"/>
    </font>
    <font>
      <sz val="11"/>
      <color theme="3" tint="-0.249977111117893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sz val="11"/>
      <color rgb="FF000000"/>
      <name val="Arial"/>
      <family val="2"/>
    </font>
    <font>
      <i/>
      <sz val="9"/>
      <color rgb="FFFF0000"/>
      <name val="Arial"/>
      <family val="2"/>
    </font>
    <font>
      <sz val="11"/>
      <color rgb="FF212121"/>
      <name val="Arial"/>
      <family val="2"/>
    </font>
    <font>
      <sz val="11"/>
      <color theme="1"/>
      <name val="Calibri"/>
      <family val="2"/>
      <charset val="1"/>
    </font>
    <font>
      <b/>
      <sz val="9"/>
      <color theme="1"/>
      <name val="Calibri"/>
      <family val="2"/>
      <charset val="1"/>
    </font>
    <font>
      <sz val="9"/>
      <name val="Calibri"/>
      <family val="2"/>
      <charset val="1"/>
    </font>
    <font>
      <b/>
      <sz val="9"/>
      <color rgb="FF3333FF"/>
      <name val="Calibri"/>
      <family val="2"/>
      <charset val="1"/>
    </font>
    <font>
      <b/>
      <sz val="8"/>
      <color rgb="FFFFFFFF"/>
      <name val="Arial"/>
      <family val="2"/>
    </font>
    <font>
      <sz val="8"/>
      <color theme="1"/>
      <name val="Calibri"/>
      <family val="2"/>
      <charset val="1"/>
    </font>
    <font>
      <sz val="8"/>
      <name val="Arial"/>
      <family val="2"/>
    </font>
    <font>
      <b/>
      <sz val="8"/>
      <color rgb="FF0432FF"/>
      <name val="Arial"/>
      <family val="2"/>
    </font>
    <font>
      <sz val="8"/>
      <color rgb="FF0000FF"/>
      <name val="Arial"/>
      <family val="2"/>
    </font>
    <font>
      <b/>
      <sz val="8"/>
      <color rgb="FF0000FF"/>
      <name val="Arial"/>
      <family val="2"/>
    </font>
    <font>
      <sz val="8"/>
      <color rgb="FF000000"/>
      <name val="Arial"/>
      <family val="2"/>
    </font>
    <font>
      <sz val="8"/>
      <color rgb="FF006400"/>
      <name val="Arial"/>
      <family val="2"/>
    </font>
    <font>
      <sz val="8"/>
      <color theme="3" tint="0.39997558519241921"/>
      <name val="Arial"/>
      <family val="2"/>
    </font>
    <font>
      <b/>
      <i/>
      <sz val="8"/>
      <color theme="0" tint="-0.499984740745262"/>
      <name val="Arial"/>
      <family val="2"/>
    </font>
    <font>
      <b/>
      <sz val="8"/>
      <color theme="0" tint="-0.499984740745262"/>
      <name val="Calibri"/>
      <family val="2"/>
      <charset val="1"/>
    </font>
    <font>
      <sz val="8"/>
      <color theme="5"/>
      <name val="Arial"/>
      <family val="2"/>
    </font>
    <font>
      <sz val="9"/>
      <color rgb="FF0000FF"/>
      <name val="Arial"/>
      <family val="2"/>
    </font>
    <font>
      <b/>
      <sz val="9"/>
      <color rgb="FF0000FF"/>
      <name val="Arial"/>
      <family val="2"/>
    </font>
    <font>
      <sz val="9"/>
      <color rgb="FF006400"/>
      <name val="Arial"/>
      <family val="2"/>
    </font>
    <font>
      <sz val="9"/>
      <color rgb="FF000000"/>
      <name val="Arial"/>
      <family val="2"/>
    </font>
    <font>
      <sz val="11"/>
      <color theme="4" tint="-0.249977111117893"/>
      <name val="Arial"/>
      <family val="2"/>
    </font>
    <font>
      <b/>
      <sz val="9"/>
      <color rgb="FFC00000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1B2631"/>
        <bgColor rgb="FF212121"/>
      </patternFill>
    </fill>
    <fill>
      <patternFill patternType="solid">
        <fgColor rgb="FF00703C"/>
        <bgColor rgb="FF1D6A39"/>
      </patternFill>
    </fill>
    <fill>
      <patternFill patternType="solid">
        <fgColor rgb="FF2E4FA0"/>
        <bgColor rgb="FF376092"/>
      </patternFill>
    </fill>
    <fill>
      <patternFill patternType="solid">
        <fgColor rgb="FF935116"/>
        <bgColor rgb="FF9C5700"/>
      </patternFill>
    </fill>
    <fill>
      <patternFill patternType="solid">
        <fgColor rgb="FFB5420D"/>
        <bgColor rgb="FF9C5700"/>
      </patternFill>
    </fill>
    <fill>
      <patternFill patternType="solid">
        <fgColor rgb="FFD5D8DC"/>
        <bgColor rgb="FFD9D9D9"/>
      </patternFill>
    </fill>
    <fill>
      <patternFill patternType="solid">
        <fgColor rgb="FFFAFAFA"/>
        <bgColor rgb="FFFDFEFE"/>
      </patternFill>
    </fill>
    <fill>
      <patternFill patternType="solid">
        <fgColor rgb="FFF4F6F7"/>
        <bgColor rgb="FFFAFAFA"/>
      </patternFill>
    </fill>
    <fill>
      <patternFill patternType="solid">
        <fgColor rgb="FFE9F7EF"/>
        <bgColor rgb="FFF4F6F7"/>
      </patternFill>
    </fill>
    <fill>
      <patternFill patternType="solid">
        <fgColor rgb="FFEAF0FF"/>
        <bgColor rgb="FFF5EEF8"/>
      </patternFill>
    </fill>
    <fill>
      <patternFill patternType="solid">
        <fgColor rgb="FFFDEBD0"/>
        <bgColor rgb="FFFEF0E6"/>
      </patternFill>
    </fill>
    <fill>
      <patternFill patternType="solid">
        <fgColor rgb="FFFDFEFE"/>
        <bgColor rgb="FFFFFFFF"/>
      </patternFill>
    </fill>
    <fill>
      <patternFill patternType="solid">
        <fgColor rgb="FFB7DEE8"/>
        <bgColor rgb="FFB9CDE5"/>
      </patternFill>
    </fill>
    <fill>
      <patternFill patternType="solid">
        <fgColor theme="3"/>
        <bgColor rgb="FF1A5276"/>
      </patternFill>
    </fill>
    <fill>
      <patternFill patternType="solid">
        <fgColor rgb="FF92D050"/>
        <bgColor rgb="FFAAB7B8"/>
      </patternFill>
    </fill>
    <fill>
      <patternFill patternType="solid">
        <fgColor theme="4" tint="0.79989013336588644"/>
        <bgColor rgb="FFD6EAF8"/>
      </patternFill>
    </fill>
    <fill>
      <patternFill patternType="solid">
        <fgColor theme="4"/>
        <bgColor rgb="FF376092"/>
      </patternFill>
    </fill>
    <fill>
      <patternFill patternType="solid">
        <fgColor theme="5" tint="0.59987182226020086"/>
        <bgColor rgb="FFFFC7CE"/>
      </patternFill>
    </fill>
    <fill>
      <patternFill patternType="solid">
        <fgColor theme="5" tint="-0.249977111117893"/>
        <bgColor rgb="FF935116"/>
      </patternFill>
    </fill>
    <fill>
      <patternFill patternType="solid">
        <fgColor rgb="FF00B050"/>
        <bgColor rgb="FF00703C"/>
      </patternFill>
    </fill>
    <fill>
      <patternFill patternType="solid">
        <fgColor theme="5" tint="0.59999389629810485"/>
        <bgColor rgb="FFF5EEF8"/>
      </patternFill>
    </fill>
    <fill>
      <patternFill patternType="solid">
        <fgColor theme="5" tint="0.59999389629810485"/>
        <bgColor rgb="FF376092"/>
      </patternFill>
    </fill>
    <fill>
      <patternFill patternType="solid">
        <fgColor theme="5" tint="0.79998168889431442"/>
        <bgColor rgb="FF9C5700"/>
      </patternFill>
    </fill>
    <fill>
      <patternFill patternType="solid">
        <fgColor theme="5" tint="0.79998168889431442"/>
        <bgColor rgb="FFFEF0E6"/>
      </patternFill>
    </fill>
    <fill>
      <patternFill patternType="solid">
        <fgColor rgb="FF7030A0"/>
      </patternFill>
    </fill>
    <fill>
      <patternFill patternType="solid">
        <fgColor rgb="FF2E75B6"/>
      </patternFill>
    </fill>
    <fill>
      <patternFill patternType="solid">
        <fgColor rgb="FFFFE699"/>
      </patternFill>
    </fill>
    <fill>
      <patternFill patternType="solid">
        <fgColor rgb="FF595959"/>
      </patternFill>
    </fill>
    <fill>
      <patternFill patternType="solid">
        <fgColor rgb="FF375623"/>
      </patternFill>
    </fill>
    <fill>
      <patternFill patternType="solid">
        <fgColor rgb="FFEBF3FB"/>
      </patternFill>
    </fill>
    <fill>
      <patternFill patternType="solid">
        <fgColor rgb="FFF9F9F9"/>
      </patternFill>
    </fill>
    <fill>
      <patternFill patternType="solid">
        <fgColor rgb="FFE2EFDA"/>
      </patternFill>
    </fill>
    <fill>
      <patternFill patternType="solid">
        <fgColor rgb="FFF3E8FF"/>
      </patternFill>
    </fill>
    <fill>
      <patternFill patternType="solid">
        <fgColor theme="0" tint="-0.499984740745262"/>
        <bgColor rgb="FF1F497D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rgb="FFDCE6F2"/>
      </patternFill>
    </fill>
    <fill>
      <patternFill patternType="solid">
        <fgColor rgb="FFFFF8B0"/>
        <bgColor indexed="64"/>
      </patternFill>
    </fill>
    <fill>
      <patternFill patternType="solid">
        <fgColor rgb="FFFEFED7"/>
        <bgColor indexed="64"/>
      </patternFill>
    </fill>
    <fill>
      <patternFill patternType="solid">
        <fgColor rgb="FFFFF8B0"/>
        <bgColor rgb="FFFFEB9C"/>
      </patternFill>
    </fill>
  </fills>
  <borders count="5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</borders>
  <cellStyleXfs count="1540">
    <xf numFmtId="0" fontId="0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37" fillId="0" borderId="0"/>
    <xf numFmtId="171" fontId="2" fillId="0" borderId="0"/>
    <xf numFmtId="171" fontId="37" fillId="0" borderId="0"/>
    <xf numFmtId="171" fontId="2" fillId="0" borderId="0"/>
    <xf numFmtId="171" fontId="37" fillId="0" borderId="0"/>
    <xf numFmtId="171" fontId="2" fillId="0" borderId="0"/>
    <xf numFmtId="171" fontId="37" fillId="0" borderId="0"/>
    <xf numFmtId="171" fontId="2" fillId="0" borderId="0"/>
    <xf numFmtId="171" fontId="3" fillId="0" borderId="0"/>
    <xf numFmtId="171" fontId="4" fillId="0" borderId="0"/>
    <xf numFmtId="170" fontId="37" fillId="0" borderId="0"/>
    <xf numFmtId="170" fontId="2" fillId="0" borderId="0"/>
    <xf numFmtId="170" fontId="37" fillId="0" borderId="0"/>
    <xf numFmtId="170" fontId="2" fillId="0" borderId="0"/>
    <xf numFmtId="170" fontId="37" fillId="0" borderId="0"/>
    <xf numFmtId="170" fontId="2" fillId="0" borderId="0"/>
    <xf numFmtId="170" fontId="37" fillId="0" borderId="0"/>
    <xf numFmtId="170" fontId="2" fillId="0" borderId="0"/>
    <xf numFmtId="170" fontId="37" fillId="0" borderId="0"/>
    <xf numFmtId="170" fontId="2" fillId="0" borderId="0"/>
    <xf numFmtId="170" fontId="3" fillId="0" borderId="0"/>
    <xf numFmtId="170" fontId="4" fillId="0" borderId="0"/>
    <xf numFmtId="170" fontId="2" fillId="0" borderId="0"/>
    <xf numFmtId="170" fontId="5" fillId="0" borderId="0"/>
    <xf numFmtId="170" fontId="2" fillId="0" borderId="0"/>
    <xf numFmtId="170" fontId="5" fillId="0" borderId="0"/>
    <xf numFmtId="170" fontId="1" fillId="0" borderId="0"/>
    <xf numFmtId="170" fontId="3" fillId="0" borderId="0"/>
    <xf numFmtId="170" fontId="4" fillId="0" borderId="0"/>
    <xf numFmtId="170" fontId="1" fillId="0" borderId="0"/>
    <xf numFmtId="170" fontId="1" fillId="0" borderId="0"/>
    <xf numFmtId="170" fontId="37" fillId="0" borderId="0"/>
    <xf numFmtId="170" fontId="37" fillId="0" borderId="0"/>
    <xf numFmtId="170" fontId="37" fillId="0" borderId="0"/>
    <xf numFmtId="170" fontId="37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37" fillId="0" borderId="0"/>
    <xf numFmtId="170" fontId="37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37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37" fillId="0" borderId="0"/>
    <xf numFmtId="170" fontId="37" fillId="0" borderId="0"/>
    <xf numFmtId="170" fontId="2" fillId="0" borderId="0"/>
    <xf numFmtId="170" fontId="2" fillId="0" borderId="0"/>
    <xf numFmtId="170" fontId="37" fillId="0" borderId="0"/>
    <xf numFmtId="170" fontId="2" fillId="0" borderId="0"/>
    <xf numFmtId="170" fontId="2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1" fillId="0" borderId="0">
      <alignment vertical="top"/>
    </xf>
    <xf numFmtId="0" fontId="3" fillId="0" borderId="0"/>
    <xf numFmtId="0" fontId="7" fillId="0" borderId="0"/>
    <xf numFmtId="0" fontId="1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8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9" fillId="0" borderId="0"/>
    <xf numFmtId="0" fontId="9" fillId="0" borderId="0"/>
    <xf numFmtId="0" fontId="10" fillId="0" borderId="0">
      <alignment vertical="center"/>
    </xf>
    <xf numFmtId="0" fontId="9" fillId="0" borderId="0">
      <alignment vertical="center"/>
    </xf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9" fillId="0" borderId="0">
      <alignment vertical="center"/>
    </xf>
    <xf numFmtId="0" fontId="37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37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2" fillId="0" borderId="0">
      <alignment vertical="center"/>
    </xf>
    <xf numFmtId="0" fontId="37" fillId="0" borderId="0"/>
    <xf numFmtId="0" fontId="6" fillId="0" borderId="0"/>
    <xf numFmtId="0" fontId="1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37" fillId="0" borderId="0"/>
    <xf numFmtId="0" fontId="6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3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43" fontId="37" fillId="0" borderId="0"/>
    <xf numFmtId="44" fontId="37" fillId="0" borderId="0"/>
    <xf numFmtId="9" fontId="37" fillId="0" borderId="0" applyFont="0" applyFill="0" applyBorder="0" applyAlignment="0" applyProtection="0"/>
  </cellStyleXfs>
  <cellXfs count="307">
    <xf numFmtId="0" fontId="0" fillId="0" borderId="0" xfId="0"/>
    <xf numFmtId="0" fontId="16" fillId="13" borderId="28" xfId="0" applyFont="1" applyFill="1" applyBorder="1" applyAlignment="1">
      <alignment horizontal="left" vertical="center"/>
    </xf>
    <xf numFmtId="0" fontId="16" fillId="13" borderId="29" xfId="0" applyFont="1" applyFill="1" applyBorder="1" applyAlignment="1">
      <alignment horizontal="left" vertical="center"/>
    </xf>
    <xf numFmtId="3" fontId="16" fillId="13" borderId="29" xfId="0" applyNumberFormat="1" applyFont="1" applyFill="1" applyBorder="1" applyAlignment="1">
      <alignment horizontal="left" vertical="center"/>
    </xf>
    <xf numFmtId="164" fontId="16" fillId="13" borderId="29" xfId="12" applyNumberFormat="1" applyFont="1" applyFill="1" applyBorder="1" applyAlignment="1">
      <alignment horizontal="left" vertical="center"/>
    </xf>
    <xf numFmtId="165" fontId="16" fillId="13" borderId="29" xfId="0" applyNumberFormat="1" applyFont="1" applyFill="1" applyBorder="1" applyAlignment="1">
      <alignment horizontal="left" vertical="center"/>
    </xf>
    <xf numFmtId="166" fontId="16" fillId="13" borderId="29" xfId="12" applyNumberFormat="1" applyFont="1" applyFill="1" applyBorder="1" applyAlignment="1">
      <alignment horizontal="left" vertical="center"/>
    </xf>
    <xf numFmtId="165" fontId="16" fillId="13" borderId="29" xfId="12" applyNumberFormat="1" applyFont="1" applyFill="1" applyBorder="1" applyAlignment="1">
      <alignment horizontal="left" vertical="center"/>
    </xf>
    <xf numFmtId="165" fontId="16" fillId="13" borderId="30" xfId="12" applyNumberFormat="1" applyFont="1" applyFill="1" applyBorder="1" applyAlignment="1">
      <alignment horizontal="left" vertical="center"/>
    </xf>
    <xf numFmtId="165" fontId="16" fillId="13" borderId="31" xfId="0" applyNumberFormat="1" applyFont="1" applyFill="1" applyBorder="1" applyAlignment="1">
      <alignment horizontal="left" vertical="center"/>
    </xf>
    <xf numFmtId="165" fontId="16" fillId="13" borderId="30" xfId="0" applyNumberFormat="1" applyFont="1" applyFill="1" applyBorder="1" applyAlignment="1">
      <alignment horizontal="left" vertical="center"/>
    </xf>
    <xf numFmtId="165" fontId="16" fillId="13" borderId="6" xfId="0" applyNumberFormat="1" applyFont="1" applyFill="1" applyBorder="1" applyAlignment="1">
      <alignment horizontal="left" vertical="center"/>
    </xf>
    <xf numFmtId="9" fontId="16" fillId="13" borderId="27" xfId="0" applyNumberFormat="1" applyFont="1" applyFill="1" applyBorder="1" applyAlignment="1">
      <alignment horizontal="left" vertical="center"/>
    </xf>
    <xf numFmtId="9" fontId="16" fillId="13" borderId="25" xfId="0" applyNumberFormat="1" applyFont="1" applyFill="1" applyBorder="1" applyAlignment="1">
      <alignment horizontal="left" vertical="center"/>
    </xf>
    <xf numFmtId="0" fontId="16" fillId="13" borderId="25" xfId="0" applyFont="1" applyFill="1" applyBorder="1" applyAlignment="1">
      <alignment horizontal="left" vertical="center"/>
    </xf>
    <xf numFmtId="165" fontId="16" fillId="13" borderId="25" xfId="0" applyNumberFormat="1" applyFont="1" applyFill="1" applyBorder="1" applyAlignment="1">
      <alignment horizontal="left" vertical="center"/>
    </xf>
    <xf numFmtId="3" fontId="16" fillId="13" borderId="22" xfId="0" applyNumberFormat="1" applyFont="1" applyFill="1" applyBorder="1" applyAlignment="1">
      <alignment horizontal="left" vertical="center"/>
    </xf>
    <xf numFmtId="165" fontId="16" fillId="13" borderId="22" xfId="0" applyNumberFormat="1" applyFont="1" applyFill="1" applyBorder="1" applyAlignment="1">
      <alignment horizontal="left" vertical="center"/>
    </xf>
    <xf numFmtId="3" fontId="16" fillId="13" borderId="23" xfId="0" applyNumberFormat="1" applyFont="1" applyFill="1" applyBorder="1" applyAlignment="1">
      <alignment horizontal="left" vertical="center"/>
    </xf>
    <xf numFmtId="0" fontId="15" fillId="0" borderId="0" xfId="0" applyFont="1" applyAlignment="1">
      <alignment horizontal="center"/>
    </xf>
    <xf numFmtId="0" fontId="17" fillId="0" borderId="32" xfId="0" applyFont="1" applyBorder="1" applyAlignment="1">
      <alignment horizontal="center" vertical="center"/>
    </xf>
    <xf numFmtId="0" fontId="17" fillId="0" borderId="32" xfId="0" applyFont="1" applyBorder="1" applyAlignment="1">
      <alignment vertical="center"/>
    </xf>
    <xf numFmtId="167" fontId="18" fillId="0" borderId="32" xfId="0" applyNumberFormat="1" applyFont="1" applyBorder="1" applyAlignment="1">
      <alignment horizontal="center" vertical="center" wrapText="1"/>
    </xf>
    <xf numFmtId="167" fontId="19" fillId="0" borderId="32" xfId="0" applyNumberFormat="1" applyFont="1" applyBorder="1" applyAlignment="1">
      <alignment horizontal="center" vertical="center" wrapText="1"/>
    </xf>
    <xf numFmtId="167" fontId="20" fillId="0" borderId="32" xfId="0" applyNumberFormat="1" applyFont="1" applyBorder="1" applyAlignment="1">
      <alignment horizontal="center" vertical="center" wrapText="1"/>
    </xf>
    <xf numFmtId="0" fontId="17" fillId="0" borderId="32" xfId="0" applyFont="1" applyBorder="1" applyAlignment="1">
      <alignment horizontal="center" vertical="center" wrapText="1"/>
    </xf>
    <xf numFmtId="0" fontId="21" fillId="0" borderId="15" xfId="0" applyFont="1" applyBorder="1"/>
    <xf numFmtId="0" fontId="21" fillId="0" borderId="15" xfId="0" applyFont="1" applyBorder="1" applyAlignment="1">
      <alignment horizontal="center"/>
    </xf>
    <xf numFmtId="167" fontId="21" fillId="0" borderId="15" xfId="0" applyNumberFormat="1" applyFont="1" applyBorder="1" applyAlignment="1">
      <alignment horizontal="center"/>
    </xf>
    <xf numFmtId="167" fontId="21" fillId="0" borderId="15" xfId="0" applyNumberFormat="1" applyFont="1" applyBorder="1"/>
    <xf numFmtId="0" fontId="21" fillId="0" borderId="0" xfId="0" applyFont="1"/>
    <xf numFmtId="0" fontId="22" fillId="14" borderId="10" xfId="0" applyFont="1" applyFill="1" applyBorder="1" applyAlignment="1">
      <alignment vertical="center"/>
    </xf>
    <xf numFmtId="0" fontId="22" fillId="14" borderId="8" xfId="0" applyFont="1" applyFill="1" applyBorder="1" applyAlignment="1">
      <alignment horizontal="center" vertical="center"/>
    </xf>
    <xf numFmtId="0" fontId="21" fillId="0" borderId="33" xfId="0" applyFont="1" applyBorder="1" applyAlignment="1">
      <alignment vertical="center"/>
    </xf>
    <xf numFmtId="168" fontId="23" fillId="0" borderId="17" xfId="0" applyNumberFormat="1" applyFont="1" applyBorder="1" applyAlignment="1">
      <alignment horizontal="center" vertical="center"/>
    </xf>
    <xf numFmtId="168" fontId="24" fillId="0" borderId="17" xfId="0" applyNumberFormat="1" applyFont="1" applyBorder="1" applyAlignment="1">
      <alignment horizontal="center" vertical="center"/>
    </xf>
    <xf numFmtId="0" fontId="25" fillId="0" borderId="33" xfId="0" applyFont="1" applyBorder="1" applyAlignment="1">
      <alignment vertical="center"/>
    </xf>
    <xf numFmtId="0" fontId="23" fillId="0" borderId="3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6" fillId="0" borderId="33" xfId="0" applyFont="1" applyBorder="1" applyAlignment="1">
      <alignment vertical="center"/>
    </xf>
    <xf numFmtId="0" fontId="26" fillId="0" borderId="17" xfId="0" applyFont="1" applyBorder="1" applyAlignment="1">
      <alignment vertical="center"/>
    </xf>
    <xf numFmtId="9" fontId="0" fillId="0" borderId="0" xfId="0" applyNumberFormat="1"/>
    <xf numFmtId="0" fontId="28" fillId="18" borderId="28" xfId="0" applyFont="1" applyFill="1" applyBorder="1" applyAlignment="1">
      <alignment horizontal="left"/>
    </xf>
    <xf numFmtId="0" fontId="29" fillId="18" borderId="28" xfId="0" applyFont="1" applyFill="1" applyBorder="1"/>
    <xf numFmtId="0" fontId="30" fillId="18" borderId="28" xfId="0" applyFont="1" applyFill="1" applyBorder="1" applyAlignment="1">
      <alignment horizontal="center"/>
    </xf>
    <xf numFmtId="0" fontId="27" fillId="18" borderId="36" xfId="0" applyFont="1" applyFill="1" applyBorder="1"/>
    <xf numFmtId="170" fontId="19" fillId="0" borderId="0" xfId="12" applyNumberFormat="1" applyFont="1"/>
    <xf numFmtId="0" fontId="29" fillId="0" borderId="15" xfId="0" applyFont="1" applyBorder="1"/>
    <xf numFmtId="0" fontId="29" fillId="0" borderId="0" xfId="0" applyFont="1"/>
    <xf numFmtId="0" fontId="21" fillId="17" borderId="28" xfId="0" applyFont="1" applyFill="1" applyBorder="1" applyAlignment="1">
      <alignment horizontal="left"/>
    </xf>
    <xf numFmtId="0" fontId="21" fillId="17" borderId="28" xfId="0" applyFont="1" applyFill="1" applyBorder="1"/>
    <xf numFmtId="9" fontId="21" fillId="17" borderId="28" xfId="0" applyNumberFormat="1" applyFont="1" applyFill="1" applyBorder="1"/>
    <xf numFmtId="2" fontId="31" fillId="17" borderId="28" xfId="0" applyNumberFormat="1" applyFont="1" applyFill="1" applyBorder="1"/>
    <xf numFmtId="2" fontId="32" fillId="17" borderId="36" xfId="0" applyNumberFormat="1" applyFont="1" applyFill="1" applyBorder="1"/>
    <xf numFmtId="9" fontId="21" fillId="0" borderId="15" xfId="0" applyNumberFormat="1" applyFont="1" applyBorder="1"/>
    <xf numFmtId="9" fontId="33" fillId="0" borderId="0" xfId="0" applyNumberFormat="1" applyFont="1"/>
    <xf numFmtId="0" fontId="34" fillId="0" borderId="15" xfId="0" applyFont="1" applyBorder="1"/>
    <xf numFmtId="0" fontId="34" fillId="0" borderId="0" xfId="0" applyFont="1"/>
    <xf numFmtId="0" fontId="21" fillId="0" borderId="28" xfId="0" applyFont="1" applyBorder="1" applyAlignment="1">
      <alignment horizontal="left"/>
    </xf>
    <xf numFmtId="0" fontId="21" fillId="0" borderId="28" xfId="0" applyFont="1" applyBorder="1"/>
    <xf numFmtId="9" fontId="21" fillId="0" borderId="28" xfId="0" applyNumberFormat="1" applyFont="1" applyBorder="1"/>
    <xf numFmtId="2" fontId="31" fillId="0" borderId="28" xfId="0" applyNumberFormat="1" applyFont="1" applyBorder="1"/>
    <xf numFmtId="2" fontId="32" fillId="0" borderId="36" xfId="0" applyNumberFormat="1" applyFont="1" applyBorder="1"/>
    <xf numFmtId="0" fontId="21" fillId="19" borderId="13" xfId="0" applyFont="1" applyFill="1" applyBorder="1" applyAlignment="1">
      <alignment horizontal="left"/>
    </xf>
    <xf numFmtId="170" fontId="21" fillId="19" borderId="15" xfId="12" applyNumberFormat="1" applyFont="1" applyFill="1" applyBorder="1"/>
    <xf numFmtId="170" fontId="33" fillId="19" borderId="14" xfId="12" applyNumberFormat="1" applyFont="1" applyFill="1" applyBorder="1"/>
    <xf numFmtId="166" fontId="21" fillId="17" borderId="28" xfId="0" applyNumberFormat="1" applyFont="1" applyFill="1" applyBorder="1"/>
    <xf numFmtId="9" fontId="21" fillId="0" borderId="0" xfId="0" applyNumberFormat="1" applyFont="1"/>
    <xf numFmtId="170" fontId="21" fillId="19" borderId="14" xfId="12" applyNumberFormat="1" applyFont="1" applyFill="1" applyBorder="1"/>
    <xf numFmtId="170" fontId="21" fillId="0" borderId="0" xfId="0" applyNumberFormat="1" applyFont="1"/>
    <xf numFmtId="0" fontId="21" fillId="19" borderId="18" xfId="0" applyFont="1" applyFill="1" applyBorder="1" applyAlignment="1">
      <alignment horizontal="left"/>
    </xf>
    <xf numFmtId="0" fontId="35" fillId="0" borderId="0" xfId="0" applyFont="1" applyAlignment="1">
      <alignment horizontal="left"/>
    </xf>
    <xf numFmtId="0" fontId="36" fillId="0" borderId="0" xfId="0" applyFont="1"/>
    <xf numFmtId="0" fontId="15" fillId="0" borderId="0" xfId="0" applyFont="1"/>
    <xf numFmtId="0" fontId="14" fillId="2" borderId="12" xfId="0" applyFont="1" applyFill="1" applyBorder="1" applyAlignment="1">
      <alignment horizontal="center" vertical="center"/>
    </xf>
    <xf numFmtId="3" fontId="14" fillId="2" borderId="6" xfId="0" applyNumberFormat="1" applyFont="1" applyFill="1" applyBorder="1" applyAlignment="1">
      <alignment horizontal="center" vertical="center"/>
    </xf>
    <xf numFmtId="165" fontId="14" fillId="2" borderId="12" xfId="0" applyNumberFormat="1" applyFont="1" applyFill="1" applyBorder="1" applyAlignment="1">
      <alignment horizontal="center" vertical="center"/>
    </xf>
    <xf numFmtId="169" fontId="14" fillId="2" borderId="12" xfId="0" applyNumberFormat="1" applyFont="1" applyFill="1" applyBorder="1" applyAlignment="1">
      <alignment horizontal="center" vertical="center"/>
    </xf>
    <xf numFmtId="172" fontId="14" fillId="2" borderId="12" xfId="0" applyNumberFormat="1" applyFont="1" applyFill="1" applyBorder="1" applyAlignment="1">
      <alignment horizontal="center" vertical="center"/>
    </xf>
    <xf numFmtId="165" fontId="14" fillId="2" borderId="8" xfId="0" applyNumberFormat="1" applyFont="1" applyFill="1" applyBorder="1" applyAlignment="1">
      <alignment horizontal="center" vertical="center"/>
    </xf>
    <xf numFmtId="3" fontId="14" fillId="2" borderId="11" xfId="0" applyNumberFormat="1" applyFont="1" applyFill="1" applyBorder="1" applyAlignment="1">
      <alignment horizontal="center" vertical="center"/>
    </xf>
    <xf numFmtId="3" fontId="14" fillId="2" borderId="12" xfId="0" applyNumberFormat="1" applyFont="1" applyFill="1" applyBorder="1" applyAlignment="1">
      <alignment horizontal="center" vertical="center"/>
    </xf>
    <xf numFmtId="3" fontId="14" fillId="2" borderId="8" xfId="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64" fontId="15" fillId="0" borderId="0" xfId="12" applyNumberFormat="1" applyFont="1" applyAlignment="1">
      <alignment horizontal="center"/>
    </xf>
    <xf numFmtId="165" fontId="40" fillId="0" borderId="0" xfId="0" applyNumberFormat="1" applyFont="1" applyAlignment="1">
      <alignment horizontal="center"/>
    </xf>
    <xf numFmtId="166" fontId="15" fillId="0" borderId="0" xfId="0" applyNumberFormat="1" applyFont="1" applyAlignment="1">
      <alignment horizontal="center"/>
    </xf>
    <xf numFmtId="165" fontId="39" fillId="0" borderId="0" xfId="0" applyNumberFormat="1" applyFont="1" applyAlignment="1">
      <alignment horizontal="center"/>
    </xf>
    <xf numFmtId="165" fontId="15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3" fontId="38" fillId="0" borderId="0" xfId="0" applyNumberFormat="1" applyFont="1" applyAlignment="1">
      <alignment horizontal="center"/>
    </xf>
    <xf numFmtId="170" fontId="39" fillId="0" borderId="0" xfId="12" applyNumberFormat="1" applyFont="1" applyAlignment="1">
      <alignment horizontal="center"/>
    </xf>
    <xf numFmtId="165" fontId="39" fillId="0" borderId="0" xfId="12" applyNumberFormat="1" applyFont="1" applyAlignment="1">
      <alignment horizontal="center"/>
    </xf>
    <xf numFmtId="165" fontId="15" fillId="0" borderId="0" xfId="0" applyNumberFormat="1" applyFont="1"/>
    <xf numFmtId="170" fontId="38" fillId="0" borderId="0" xfId="12" applyNumberFormat="1" applyFont="1" applyAlignment="1">
      <alignment horizontal="center"/>
    </xf>
    <xf numFmtId="174" fontId="39" fillId="0" borderId="0" xfId="12" applyNumberFormat="1" applyFont="1"/>
    <xf numFmtId="166" fontId="39" fillId="0" borderId="0" xfId="0" applyNumberFormat="1" applyFont="1" applyAlignment="1">
      <alignment horizontal="center"/>
    </xf>
    <xf numFmtId="0" fontId="41" fillId="2" borderId="1" xfId="0" applyFont="1" applyFill="1" applyBorder="1" applyAlignment="1">
      <alignment horizontal="center" vertical="center"/>
    </xf>
    <xf numFmtId="0" fontId="41" fillId="2" borderId="2" xfId="0" applyFont="1" applyFill="1" applyBorder="1" applyAlignment="1">
      <alignment horizontal="center" vertical="center"/>
    </xf>
    <xf numFmtId="0" fontId="41" fillId="2" borderId="3" xfId="0" applyFont="1" applyFill="1" applyBorder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168" fontId="41" fillId="5" borderId="9" xfId="0" applyNumberFormat="1" applyFont="1" applyFill="1" applyBorder="1" applyAlignment="1">
      <alignment horizontal="center" vertical="center"/>
    </xf>
    <xf numFmtId="0" fontId="42" fillId="0" borderId="0" xfId="0" applyFont="1"/>
    <xf numFmtId="2" fontId="41" fillId="2" borderId="11" xfId="0" applyNumberFormat="1" applyFont="1" applyFill="1" applyBorder="1" applyAlignment="1">
      <alignment horizontal="center" vertical="center"/>
    </xf>
    <xf numFmtId="0" fontId="41" fillId="2" borderId="12" xfId="0" applyFont="1" applyFill="1" applyBorder="1" applyAlignment="1">
      <alignment horizontal="center" vertical="center"/>
    </xf>
    <xf numFmtId="0" fontId="41" fillId="2" borderId="8" xfId="0" applyFont="1" applyFill="1" applyBorder="1" applyAlignment="1">
      <alignment horizontal="center" vertical="center"/>
    </xf>
    <xf numFmtId="0" fontId="41" fillId="2" borderId="6" xfId="0" applyFont="1" applyFill="1" applyBorder="1" applyAlignment="1">
      <alignment horizontal="center" vertical="center"/>
    </xf>
    <xf numFmtId="3" fontId="41" fillId="5" borderId="15" xfId="0" applyNumberFormat="1" applyFont="1" applyFill="1" applyBorder="1" applyAlignment="1">
      <alignment horizontal="center" vertical="center"/>
    </xf>
    <xf numFmtId="0" fontId="41" fillId="2" borderId="16" xfId="0" applyFont="1" applyFill="1" applyBorder="1" applyAlignment="1">
      <alignment horizontal="center" vertical="center"/>
    </xf>
    <xf numFmtId="0" fontId="41" fillId="2" borderId="17" xfId="0" applyFont="1" applyFill="1" applyBorder="1" applyAlignment="1">
      <alignment horizontal="center" vertical="center"/>
    </xf>
    <xf numFmtId="9" fontId="41" fillId="5" borderId="20" xfId="0" applyNumberFormat="1" applyFont="1" applyFill="1" applyBorder="1" applyAlignment="1">
      <alignment horizontal="center" vertical="center"/>
    </xf>
    <xf numFmtId="0" fontId="41" fillId="2" borderId="16" xfId="0" applyFont="1" applyFill="1" applyBorder="1" applyAlignment="1">
      <alignment horizontal="left" vertical="center" wrapText="1"/>
    </xf>
    <xf numFmtId="164" fontId="41" fillId="2" borderId="16" xfId="12" applyNumberFormat="1" applyFont="1" applyFill="1" applyBorder="1" applyAlignment="1">
      <alignment horizontal="center" vertical="center" wrapText="1"/>
    </xf>
    <xf numFmtId="165" fontId="41" fillId="2" borderId="16" xfId="0" applyNumberFormat="1" applyFont="1" applyFill="1" applyBorder="1" applyAlignment="1">
      <alignment horizontal="center" vertical="center" wrapText="1"/>
    </xf>
    <xf numFmtId="166" fontId="41" fillId="2" borderId="16" xfId="0" applyNumberFormat="1" applyFont="1" applyFill="1" applyBorder="1" applyAlignment="1">
      <alignment horizontal="center" vertical="center" wrapText="1"/>
    </xf>
    <xf numFmtId="165" fontId="41" fillId="2" borderId="17" xfId="0" applyNumberFormat="1" applyFont="1" applyFill="1" applyBorder="1" applyAlignment="1">
      <alignment horizontal="center" vertical="center" wrapText="1"/>
    </xf>
    <xf numFmtId="165" fontId="41" fillId="3" borderId="16" xfId="12" applyNumberFormat="1" applyFont="1" applyFill="1" applyBorder="1" applyAlignment="1">
      <alignment horizontal="center" vertical="center" wrapText="1"/>
    </xf>
    <xf numFmtId="166" fontId="41" fillId="3" borderId="16" xfId="0" applyNumberFormat="1" applyFont="1" applyFill="1" applyBorder="1" applyAlignment="1">
      <alignment horizontal="center" vertical="center" wrapText="1"/>
    </xf>
    <xf numFmtId="165" fontId="41" fillId="4" borderId="16" xfId="12" applyNumberFormat="1" applyFont="1" applyFill="1" applyBorder="1" applyAlignment="1">
      <alignment horizontal="center" vertical="center" wrapText="1"/>
    </xf>
    <xf numFmtId="165" fontId="41" fillId="5" borderId="21" xfId="12" applyNumberFormat="1" applyFont="1" applyFill="1" applyBorder="1" applyAlignment="1">
      <alignment horizontal="center" vertical="center" wrapText="1"/>
    </xf>
    <xf numFmtId="165" fontId="41" fillId="5" borderId="16" xfId="12" applyNumberFormat="1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0" fontId="45" fillId="8" borderId="25" xfId="0" applyFont="1" applyFill="1" applyBorder="1" applyAlignment="1">
      <alignment horizontal="left" vertical="center"/>
    </xf>
    <xf numFmtId="3" fontId="46" fillId="9" borderId="25" xfId="0" applyNumberFormat="1" applyFont="1" applyFill="1" applyBorder="1" applyAlignment="1">
      <alignment horizontal="center" vertical="center"/>
    </xf>
    <xf numFmtId="3" fontId="47" fillId="9" borderId="25" xfId="0" applyNumberFormat="1" applyFont="1" applyFill="1" applyBorder="1" applyAlignment="1">
      <alignment horizontal="center" vertical="center"/>
    </xf>
    <xf numFmtId="165" fontId="46" fillId="9" borderId="25" xfId="12" applyNumberFormat="1" applyFont="1" applyFill="1" applyBorder="1" applyAlignment="1">
      <alignment horizontal="center" vertical="center"/>
    </xf>
    <xf numFmtId="165" fontId="47" fillId="9" borderId="25" xfId="12" applyNumberFormat="1" applyFont="1" applyFill="1" applyBorder="1" applyAlignment="1">
      <alignment horizontal="center" vertical="center"/>
    </xf>
    <xf numFmtId="165" fontId="47" fillId="9" borderId="25" xfId="0" applyNumberFormat="1" applyFont="1" applyFill="1" applyBorder="1" applyAlignment="1">
      <alignment horizontal="center" vertical="center"/>
    </xf>
    <xf numFmtId="166" fontId="46" fillId="9" borderId="25" xfId="12" applyNumberFormat="1" applyFont="1" applyFill="1" applyBorder="1" applyAlignment="1">
      <alignment horizontal="center" vertical="center"/>
    </xf>
    <xf numFmtId="165" fontId="46" fillId="9" borderId="26" xfId="12" applyNumberFormat="1" applyFont="1" applyFill="1" applyBorder="1" applyAlignment="1">
      <alignment horizontal="center" vertical="center"/>
    </xf>
    <xf numFmtId="165" fontId="46" fillId="9" borderId="6" xfId="0" applyNumberFormat="1" applyFont="1" applyFill="1" applyBorder="1" applyAlignment="1">
      <alignment horizontal="center" vertical="center"/>
    </xf>
    <xf numFmtId="165" fontId="47" fillId="10" borderId="25" xfId="0" applyNumberFormat="1" applyFont="1" applyFill="1" applyBorder="1" applyAlignment="1">
      <alignment horizontal="center" vertical="center"/>
    </xf>
    <xf numFmtId="169" fontId="47" fillId="10" borderId="25" xfId="0" applyNumberFormat="1" applyFont="1" applyFill="1" applyBorder="1" applyAlignment="1">
      <alignment horizontal="center" vertical="center"/>
    </xf>
    <xf numFmtId="165" fontId="48" fillId="10" borderId="25" xfId="0" applyNumberFormat="1" applyFont="1" applyFill="1" applyBorder="1" applyAlignment="1">
      <alignment horizontal="center" vertical="center"/>
    </xf>
    <xf numFmtId="165" fontId="47" fillId="11" borderId="25" xfId="0" applyNumberFormat="1" applyFont="1" applyFill="1" applyBorder="1" applyAlignment="1">
      <alignment horizontal="center" vertical="center"/>
    </xf>
    <xf numFmtId="166" fontId="47" fillId="11" borderId="25" xfId="0" applyNumberFormat="1" applyFont="1" applyFill="1" applyBorder="1" applyAlignment="1">
      <alignment horizontal="center" vertical="center"/>
    </xf>
    <xf numFmtId="165" fontId="46" fillId="12" borderId="27" xfId="0" applyNumberFormat="1" applyFont="1" applyFill="1" applyBorder="1" applyAlignment="1">
      <alignment horizontal="center" vertical="center"/>
    </xf>
    <xf numFmtId="165" fontId="46" fillId="12" borderId="25" xfId="0" applyNumberFormat="1" applyFont="1" applyFill="1" applyBorder="1" applyAlignment="1">
      <alignment horizontal="center" vertical="center"/>
    </xf>
    <xf numFmtId="175" fontId="47" fillId="12" borderId="25" xfId="0" applyNumberFormat="1" applyFont="1" applyFill="1" applyBorder="1" applyAlignment="1">
      <alignment horizontal="center" vertical="center"/>
    </xf>
    <xf numFmtId="165" fontId="48" fillId="12" borderId="25" xfId="0" applyNumberFormat="1" applyFont="1" applyFill="1" applyBorder="1" applyAlignment="1">
      <alignment horizontal="center" vertical="center"/>
    </xf>
    <xf numFmtId="0" fontId="50" fillId="7" borderId="22" xfId="0" applyFont="1" applyFill="1" applyBorder="1" applyAlignment="1">
      <alignment horizontal="left" vertical="center"/>
    </xf>
    <xf numFmtId="165" fontId="50" fillId="7" borderId="22" xfId="0" applyNumberFormat="1" applyFont="1" applyFill="1" applyBorder="1" applyAlignment="1">
      <alignment horizontal="left" vertical="center"/>
    </xf>
    <xf numFmtId="165" fontId="50" fillId="7" borderId="22" xfId="0" applyNumberFormat="1" applyFont="1" applyFill="1" applyBorder="1" applyAlignment="1">
      <alignment horizontal="center" vertical="center"/>
    </xf>
    <xf numFmtId="0" fontId="50" fillId="7" borderId="22" xfId="0" applyFont="1" applyFill="1" applyBorder="1" applyAlignment="1">
      <alignment horizontal="center" vertical="center"/>
    </xf>
    <xf numFmtId="165" fontId="50" fillId="7" borderId="23" xfId="0" applyNumberFormat="1" applyFont="1" applyFill="1" applyBorder="1" applyAlignment="1">
      <alignment horizontal="center" vertical="center"/>
    </xf>
    <xf numFmtId="3" fontId="50" fillId="7" borderId="24" xfId="0" applyNumberFormat="1" applyFont="1" applyFill="1" applyBorder="1" applyAlignment="1">
      <alignment horizontal="center" vertical="center"/>
    </xf>
    <xf numFmtId="3" fontId="50" fillId="7" borderId="22" xfId="0" applyNumberFormat="1" applyFont="1" applyFill="1" applyBorder="1" applyAlignment="1">
      <alignment horizontal="center" vertical="center"/>
    </xf>
    <xf numFmtId="3" fontId="50" fillId="7" borderId="23" xfId="0" applyNumberFormat="1" applyFont="1" applyFill="1" applyBorder="1" applyAlignment="1">
      <alignment horizontal="center" vertical="center"/>
    </xf>
    <xf numFmtId="3" fontId="50" fillId="7" borderId="6" xfId="0" applyNumberFormat="1" applyFont="1" applyFill="1" applyBorder="1" applyAlignment="1">
      <alignment horizontal="center" vertical="center"/>
    </xf>
    <xf numFmtId="9" fontId="50" fillId="7" borderId="22" xfId="0" applyNumberFormat="1" applyFont="1" applyFill="1" applyBorder="1" applyAlignment="1">
      <alignment horizontal="center" vertical="center"/>
    </xf>
    <xf numFmtId="0" fontId="51" fillId="0" borderId="0" xfId="0" applyFont="1"/>
    <xf numFmtId="44" fontId="41" fillId="3" borderId="16" xfId="1538" applyFont="1" applyFill="1" applyBorder="1" applyAlignment="1">
      <alignment horizontal="center" vertical="center" wrapText="1"/>
    </xf>
    <xf numFmtId="44" fontId="50" fillId="7" borderId="22" xfId="1538" applyFont="1" applyFill="1" applyBorder="1" applyAlignment="1">
      <alignment horizontal="center" vertical="center"/>
    </xf>
    <xf numFmtId="44" fontId="47" fillId="10" borderId="25" xfId="1538" applyFont="1" applyFill="1" applyBorder="1" applyAlignment="1">
      <alignment horizontal="center" vertical="center"/>
    </xf>
    <xf numFmtId="3" fontId="41" fillId="5" borderId="40" xfId="0" applyNumberFormat="1" applyFont="1" applyFill="1" applyBorder="1" applyAlignment="1">
      <alignment horizontal="center" vertical="center"/>
    </xf>
    <xf numFmtId="165" fontId="41" fillId="5" borderId="7" xfId="0" applyNumberFormat="1" applyFont="1" applyFill="1" applyBorder="1" applyAlignment="1">
      <alignment horizontal="center" vertical="center"/>
    </xf>
    <xf numFmtId="3" fontId="41" fillId="5" borderId="38" xfId="0" applyNumberFormat="1" applyFont="1" applyFill="1" applyBorder="1" applyAlignment="1">
      <alignment horizontal="center" vertical="center"/>
    </xf>
    <xf numFmtId="3" fontId="41" fillId="23" borderId="16" xfId="0" applyNumberFormat="1" applyFont="1" applyFill="1" applyBorder="1" applyAlignment="1">
      <alignment horizontal="center" vertical="center" wrapText="1"/>
    </xf>
    <xf numFmtId="165" fontId="41" fillId="23" borderId="16" xfId="0" applyNumberFormat="1" applyFont="1" applyFill="1" applyBorder="1" applyAlignment="1">
      <alignment horizontal="center" vertical="center" wrapText="1"/>
    </xf>
    <xf numFmtId="3" fontId="41" fillId="24" borderId="16" xfId="0" applyNumberFormat="1" applyFont="1" applyFill="1" applyBorder="1" applyAlignment="1">
      <alignment horizontal="center" vertical="center" wrapText="1"/>
    </xf>
    <xf numFmtId="165" fontId="41" fillId="24" borderId="16" xfId="0" applyNumberFormat="1" applyFont="1" applyFill="1" applyBorder="1" applyAlignment="1">
      <alignment horizontal="center" vertical="center" wrapText="1"/>
    </xf>
    <xf numFmtId="3" fontId="52" fillId="22" borderId="25" xfId="0" applyNumberFormat="1" applyFont="1" applyFill="1" applyBorder="1" applyAlignment="1">
      <alignment horizontal="center" vertical="center"/>
    </xf>
    <xf numFmtId="165" fontId="52" fillId="22" borderId="25" xfId="0" applyNumberFormat="1" applyFont="1" applyFill="1" applyBorder="1" applyAlignment="1">
      <alignment horizontal="center" vertical="center"/>
    </xf>
    <xf numFmtId="176" fontId="52" fillId="25" borderId="22" xfId="1537" applyNumberFormat="1" applyFont="1" applyFill="1" applyBorder="1" applyAlignment="1">
      <alignment horizontal="center" vertical="center"/>
    </xf>
    <xf numFmtId="165" fontId="52" fillId="25" borderId="22" xfId="0" applyNumberFormat="1" applyFont="1" applyFill="1" applyBorder="1" applyAlignment="1">
      <alignment horizontal="center" vertical="center"/>
    </xf>
    <xf numFmtId="176" fontId="52" fillId="25" borderId="25" xfId="1537" applyNumberFormat="1" applyFont="1" applyFill="1" applyBorder="1" applyAlignment="1">
      <alignment horizontal="center" vertical="center"/>
    </xf>
    <xf numFmtId="165" fontId="52" fillId="25" borderId="25" xfId="0" applyNumberFormat="1" applyFont="1" applyFill="1" applyBorder="1" applyAlignment="1">
      <alignment horizontal="center" vertical="center"/>
    </xf>
    <xf numFmtId="175" fontId="47" fillId="12" borderId="25" xfId="0" applyNumberFormat="1" applyFont="1" applyFill="1" applyBorder="1" applyAlignment="1">
      <alignment horizontal="left" vertical="center"/>
    </xf>
    <xf numFmtId="0" fontId="53" fillId="31" borderId="43" xfId="0" applyFont="1" applyFill="1" applyBorder="1" applyAlignment="1">
      <alignment horizontal="left" vertical="center"/>
    </xf>
    <xf numFmtId="168" fontId="53" fillId="31" borderId="43" xfId="0" applyNumberFormat="1" applyFont="1" applyFill="1" applyBorder="1" applyAlignment="1">
      <alignment horizontal="center" vertical="center"/>
    </xf>
    <xf numFmtId="0" fontId="53" fillId="31" borderId="43" xfId="0" applyFont="1" applyFill="1" applyBorder="1" applyAlignment="1">
      <alignment horizontal="center" vertical="center"/>
    </xf>
    <xf numFmtId="170" fontId="54" fillId="31" borderId="43" xfId="12" applyNumberFormat="1" applyFont="1" applyFill="1" applyBorder="1" applyAlignment="1">
      <alignment horizontal="center" vertical="center"/>
    </xf>
    <xf numFmtId="169" fontId="54" fillId="31" borderId="43" xfId="0" applyNumberFormat="1" applyFont="1" applyFill="1" applyBorder="1" applyAlignment="1">
      <alignment horizontal="center" vertical="center"/>
    </xf>
    <xf numFmtId="0" fontId="53" fillId="32" borderId="43" xfId="0" applyFont="1" applyFill="1" applyBorder="1" applyAlignment="1">
      <alignment horizontal="center" vertical="center"/>
    </xf>
    <xf numFmtId="0" fontId="53" fillId="33" borderId="43" xfId="0" applyFont="1" applyFill="1" applyBorder="1" applyAlignment="1">
      <alignment horizontal="center" vertical="center"/>
    </xf>
    <xf numFmtId="165" fontId="54" fillId="33" borderId="43" xfId="0" applyNumberFormat="1" applyFont="1" applyFill="1" applyBorder="1" applyAlignment="1">
      <alignment horizontal="center" vertical="center"/>
    </xf>
    <xf numFmtId="0" fontId="54" fillId="33" borderId="43" xfId="0" applyFont="1" applyFill="1" applyBorder="1" applyAlignment="1">
      <alignment horizontal="center" vertical="center"/>
    </xf>
    <xf numFmtId="170" fontId="54" fillId="33" borderId="43" xfId="12" applyNumberFormat="1" applyFont="1" applyFill="1" applyBorder="1" applyAlignment="1">
      <alignment horizontal="center" vertical="center"/>
    </xf>
    <xf numFmtId="0" fontId="55" fillId="34" borderId="43" xfId="0" applyFont="1" applyFill="1" applyBorder="1" applyAlignment="1">
      <alignment horizontal="center" vertical="center"/>
    </xf>
    <xf numFmtId="166" fontId="55" fillId="34" borderId="43" xfId="0" applyNumberFormat="1" applyFont="1" applyFill="1" applyBorder="1" applyAlignment="1">
      <alignment horizontal="center" vertical="center"/>
    </xf>
    <xf numFmtId="166" fontId="56" fillId="34" borderId="43" xfId="0" applyNumberFormat="1" applyFont="1" applyFill="1" applyBorder="1" applyAlignment="1">
      <alignment horizontal="center" vertical="center"/>
    </xf>
    <xf numFmtId="170" fontId="55" fillId="34" borderId="43" xfId="12" applyNumberFormat="1" applyFont="1" applyFill="1" applyBorder="1" applyAlignment="1">
      <alignment horizontal="center" vertical="center"/>
    </xf>
    <xf numFmtId="170" fontId="56" fillId="34" borderId="43" xfId="12" applyNumberFormat="1" applyFont="1" applyFill="1" applyBorder="1" applyAlignment="1">
      <alignment horizontal="center" vertical="center"/>
    </xf>
    <xf numFmtId="168" fontId="54" fillId="31" borderId="43" xfId="12" applyNumberFormat="1" applyFont="1" applyFill="1" applyBorder="1" applyAlignment="1">
      <alignment horizontal="center" vertical="center"/>
    </xf>
    <xf numFmtId="165" fontId="41" fillId="35" borderId="21" xfId="12" applyNumberFormat="1" applyFont="1" applyFill="1" applyBorder="1" applyAlignment="1">
      <alignment horizontal="center" vertical="center" wrapText="1"/>
    </xf>
    <xf numFmtId="165" fontId="41" fillId="35" borderId="16" xfId="12" applyNumberFormat="1" applyFont="1" applyFill="1" applyBorder="1" applyAlignment="1">
      <alignment horizontal="center" vertical="center" wrapText="1"/>
    </xf>
    <xf numFmtId="165" fontId="41" fillId="35" borderId="17" xfId="12" applyNumberFormat="1" applyFont="1" applyFill="1" applyBorder="1" applyAlignment="1">
      <alignment horizontal="center" vertical="center" wrapText="1"/>
    </xf>
    <xf numFmtId="165" fontId="43" fillId="37" borderId="27" xfId="0" applyNumberFormat="1" applyFont="1" applyFill="1" applyBorder="1" applyAlignment="1">
      <alignment horizontal="center" vertical="center"/>
    </xf>
    <xf numFmtId="165" fontId="43" fillId="37" borderId="25" xfId="0" applyNumberFormat="1" applyFont="1" applyFill="1" applyBorder="1" applyAlignment="1">
      <alignment horizontal="center" vertical="center"/>
    </xf>
    <xf numFmtId="175" fontId="43" fillId="37" borderId="25" xfId="0" applyNumberFormat="1" applyFont="1" applyFill="1" applyBorder="1" applyAlignment="1">
      <alignment horizontal="center" vertical="center"/>
    </xf>
    <xf numFmtId="165" fontId="49" fillId="37" borderId="25" xfId="0" applyNumberFormat="1" applyFont="1" applyFill="1" applyBorder="1" applyAlignment="1">
      <alignment horizontal="center" vertical="center"/>
    </xf>
    <xf numFmtId="165" fontId="44" fillId="37" borderId="26" xfId="0" applyNumberFormat="1" applyFont="1" applyFill="1" applyBorder="1" applyAlignment="1">
      <alignment horizontal="center" vertical="center"/>
    </xf>
    <xf numFmtId="0" fontId="16" fillId="13" borderId="29" xfId="0" applyFont="1" applyFill="1" applyBorder="1" applyAlignment="1">
      <alignment horizontal="left" vertical="top"/>
    </xf>
    <xf numFmtId="9" fontId="29" fillId="18" borderId="28" xfId="0" applyNumberFormat="1" applyFont="1" applyFill="1" applyBorder="1" applyAlignment="1">
      <alignment wrapText="1"/>
    </xf>
    <xf numFmtId="173" fontId="28" fillId="20" borderId="0" xfId="12" applyNumberFormat="1" applyFont="1" applyFill="1"/>
    <xf numFmtId="9" fontId="21" fillId="19" borderId="15" xfId="1539" applyFont="1" applyFill="1" applyBorder="1"/>
    <xf numFmtId="170" fontId="33" fillId="19" borderId="15" xfId="12" applyNumberFormat="1" applyFont="1" applyFill="1" applyBorder="1"/>
    <xf numFmtId="173" fontId="28" fillId="20" borderId="45" xfId="12" applyNumberFormat="1" applyFont="1" applyFill="1" applyBorder="1"/>
    <xf numFmtId="170" fontId="21" fillId="19" borderId="42" xfId="12" applyNumberFormat="1" applyFont="1" applyFill="1" applyBorder="1"/>
    <xf numFmtId="9" fontId="21" fillId="19" borderId="42" xfId="1539" applyFont="1" applyFill="1" applyBorder="1"/>
    <xf numFmtId="170" fontId="33" fillId="19" borderId="42" xfId="12" applyNumberFormat="1" applyFont="1" applyFill="1" applyBorder="1"/>
    <xf numFmtId="170" fontId="33" fillId="19" borderId="19" xfId="12" applyNumberFormat="1" applyFont="1" applyFill="1" applyBorder="1"/>
    <xf numFmtId="170" fontId="21" fillId="0" borderId="13" xfId="12" applyNumberFormat="1" applyFont="1" applyBorder="1"/>
    <xf numFmtId="170" fontId="21" fillId="0" borderId="18" xfId="12" applyNumberFormat="1" applyFont="1" applyBorder="1"/>
    <xf numFmtId="9" fontId="21" fillId="0" borderId="42" xfId="0" applyNumberFormat="1" applyFont="1" applyBorder="1"/>
    <xf numFmtId="170" fontId="57" fillId="0" borderId="15" xfId="12" applyNumberFormat="1" applyFont="1" applyBorder="1"/>
    <xf numFmtId="170" fontId="57" fillId="0" borderId="42" xfId="12" applyNumberFormat="1" applyFont="1" applyBorder="1"/>
    <xf numFmtId="9" fontId="57" fillId="0" borderId="14" xfId="0" applyNumberFormat="1" applyFont="1" applyBorder="1"/>
    <xf numFmtId="9" fontId="57" fillId="0" borderId="19" xfId="0" applyNumberFormat="1" applyFont="1" applyBorder="1"/>
    <xf numFmtId="0" fontId="21" fillId="19" borderId="46" xfId="0" applyFont="1" applyFill="1" applyBorder="1" applyAlignment="1">
      <alignment horizontal="left"/>
    </xf>
    <xf numFmtId="170" fontId="21" fillId="19" borderId="43" xfId="12" applyNumberFormat="1" applyFont="1" applyFill="1" applyBorder="1"/>
    <xf numFmtId="9" fontId="21" fillId="19" borderId="43" xfId="1539" applyFont="1" applyFill="1" applyBorder="1"/>
    <xf numFmtId="170" fontId="33" fillId="19" borderId="43" xfId="12" applyNumberFormat="1" applyFont="1" applyFill="1" applyBorder="1"/>
    <xf numFmtId="0" fontId="17" fillId="19" borderId="4" xfId="0" applyFont="1" applyFill="1" applyBorder="1"/>
    <xf numFmtId="170" fontId="17" fillId="19" borderId="9" xfId="12" applyNumberFormat="1" applyFont="1" applyFill="1" applyBorder="1"/>
    <xf numFmtId="170" fontId="19" fillId="19" borderId="9" xfId="12" applyNumberFormat="1" applyFont="1" applyFill="1" applyBorder="1"/>
    <xf numFmtId="170" fontId="19" fillId="19" borderId="5" xfId="12" applyNumberFormat="1" applyFont="1" applyFill="1" applyBorder="1"/>
    <xf numFmtId="170" fontId="19" fillId="19" borderId="47" xfId="12" applyNumberFormat="1" applyFont="1" applyFill="1" applyBorder="1"/>
    <xf numFmtId="170" fontId="33" fillId="19" borderId="48" xfId="12" applyNumberFormat="1" applyFont="1" applyFill="1" applyBorder="1"/>
    <xf numFmtId="170" fontId="33" fillId="19" borderId="49" xfId="12" applyNumberFormat="1" applyFont="1" applyFill="1" applyBorder="1"/>
    <xf numFmtId="170" fontId="33" fillId="19" borderId="50" xfId="12" applyNumberFormat="1" applyFont="1" applyFill="1" applyBorder="1"/>
    <xf numFmtId="170" fontId="17" fillId="19" borderId="4" xfId="12" applyNumberFormat="1" applyFont="1" applyFill="1" applyBorder="1"/>
    <xf numFmtId="170" fontId="21" fillId="19" borderId="13" xfId="12" applyNumberFormat="1" applyFont="1" applyFill="1" applyBorder="1"/>
    <xf numFmtId="170" fontId="21" fillId="19" borderId="18" xfId="12" applyNumberFormat="1" applyFont="1" applyFill="1" applyBorder="1"/>
    <xf numFmtId="170" fontId="17" fillId="0" borderId="4" xfId="12" applyNumberFormat="1" applyFont="1" applyBorder="1"/>
    <xf numFmtId="170" fontId="17" fillId="0" borderId="9" xfId="12" applyNumberFormat="1" applyFont="1" applyBorder="1"/>
    <xf numFmtId="170" fontId="19" fillId="0" borderId="9" xfId="12" applyNumberFormat="1" applyFont="1" applyBorder="1"/>
    <xf numFmtId="170" fontId="19" fillId="0" borderId="5" xfId="12" applyNumberFormat="1" applyFont="1" applyBorder="1"/>
    <xf numFmtId="170" fontId="34" fillId="0" borderId="13" xfId="0" applyNumberFormat="1" applyFont="1" applyBorder="1"/>
    <xf numFmtId="170" fontId="19" fillId="0" borderId="47" xfId="12" applyNumberFormat="1" applyFont="1" applyBorder="1"/>
    <xf numFmtId="9" fontId="57" fillId="0" borderId="49" xfId="0" applyNumberFormat="1" applyFont="1" applyBorder="1"/>
    <xf numFmtId="9" fontId="57" fillId="0" borderId="50" xfId="0" applyNumberFormat="1" applyFont="1" applyBorder="1"/>
    <xf numFmtId="9" fontId="17" fillId="0" borderId="9" xfId="0" applyNumberFormat="1" applyFont="1" applyBorder="1"/>
    <xf numFmtId="0" fontId="17" fillId="0" borderId="15" xfId="0" applyFont="1" applyBorder="1"/>
    <xf numFmtId="171" fontId="21" fillId="0" borderId="15" xfId="0" applyNumberFormat="1" applyFont="1" applyBorder="1"/>
    <xf numFmtId="166" fontId="21" fillId="0" borderId="15" xfId="0" applyNumberFormat="1" applyFont="1" applyBorder="1"/>
    <xf numFmtId="172" fontId="21" fillId="0" borderId="15" xfId="0" applyNumberFormat="1" applyFont="1" applyBorder="1"/>
    <xf numFmtId="0" fontId="58" fillId="28" borderId="16" xfId="0" applyFont="1" applyFill="1" applyBorder="1" applyAlignment="1">
      <alignment horizontal="center" vertical="center"/>
    </xf>
    <xf numFmtId="0" fontId="59" fillId="15" borderId="0" xfId="0" applyFont="1" applyFill="1" applyAlignment="1">
      <alignment horizontal="center"/>
    </xf>
    <xf numFmtId="169" fontId="15" fillId="0" borderId="0" xfId="0" applyNumberFormat="1" applyFont="1"/>
    <xf numFmtId="0" fontId="60" fillId="16" borderId="0" xfId="0" applyFont="1" applyFill="1" applyAlignment="1">
      <alignment vertical="center" wrapText="1"/>
    </xf>
    <xf numFmtId="170" fontId="15" fillId="0" borderId="0" xfId="12" applyNumberFormat="1" applyFont="1"/>
    <xf numFmtId="9" fontId="15" fillId="0" borderId="0" xfId="0" applyNumberFormat="1" applyFont="1"/>
    <xf numFmtId="0" fontId="61" fillId="0" borderId="0" xfId="0" applyFont="1"/>
    <xf numFmtId="0" fontId="14" fillId="27" borderId="42" xfId="0" applyFont="1" applyFill="1" applyBorder="1" applyAlignment="1">
      <alignment horizontal="center" vertical="center" wrapText="1"/>
    </xf>
    <xf numFmtId="169" fontId="14" fillId="27" borderId="42" xfId="0" applyNumberFormat="1" applyFont="1" applyFill="1" applyBorder="1" applyAlignment="1">
      <alignment horizontal="center" vertical="center" wrapText="1"/>
    </xf>
    <xf numFmtId="0" fontId="14" fillId="29" borderId="42" xfId="0" applyFont="1" applyFill="1" applyBorder="1" applyAlignment="1">
      <alignment horizontal="center" vertical="center" wrapText="1"/>
    </xf>
    <xf numFmtId="3" fontId="14" fillId="30" borderId="42" xfId="0" applyNumberFormat="1" applyFont="1" applyFill="1" applyBorder="1" applyAlignment="1">
      <alignment horizontal="center" vertical="center" wrapText="1"/>
    </xf>
    <xf numFmtId="0" fontId="14" fillId="30" borderId="42" xfId="0" applyFont="1" applyFill="1" applyBorder="1" applyAlignment="1">
      <alignment horizontal="center" vertical="center" wrapText="1"/>
    </xf>
    <xf numFmtId="170" fontId="14" fillId="30" borderId="42" xfId="12" applyNumberFormat="1" applyFont="1" applyFill="1" applyBorder="1" applyAlignment="1">
      <alignment horizontal="center" vertical="center" wrapText="1"/>
    </xf>
    <xf numFmtId="0" fontId="14" fillId="26" borderId="42" xfId="0" applyFont="1" applyFill="1" applyBorder="1" applyAlignment="1">
      <alignment horizontal="center" vertical="center" wrapText="1"/>
    </xf>
    <xf numFmtId="170" fontId="14" fillId="26" borderId="42" xfId="12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4" borderId="43" xfId="12" applyNumberFormat="1" applyFont="1" applyFill="1" applyBorder="1" applyAlignment="1">
      <alignment horizontal="center" vertical="center"/>
    </xf>
    <xf numFmtId="170" fontId="15" fillId="34" borderId="43" xfId="12" applyNumberFormat="1" applyFont="1" applyFill="1" applyBorder="1" applyAlignment="1">
      <alignment horizontal="center" vertical="center"/>
    </xf>
    <xf numFmtId="0" fontId="53" fillId="39" borderId="43" xfId="0" applyFont="1" applyFill="1" applyBorder="1" applyAlignment="1">
      <alignment horizontal="center" vertical="center"/>
    </xf>
    <xf numFmtId="170" fontId="54" fillId="39" borderId="43" xfId="12" applyNumberFormat="1" applyFont="1" applyFill="1" applyBorder="1" applyAlignment="1">
      <alignment horizontal="center" vertical="center"/>
    </xf>
    <xf numFmtId="0" fontId="54" fillId="39" borderId="43" xfId="0" applyFont="1" applyFill="1" applyBorder="1" applyAlignment="1">
      <alignment horizontal="center" vertical="center"/>
    </xf>
    <xf numFmtId="166" fontId="54" fillId="39" borderId="43" xfId="0" applyNumberFormat="1" applyFont="1" applyFill="1" applyBorder="1" applyAlignment="1">
      <alignment horizontal="center" vertical="center"/>
    </xf>
    <xf numFmtId="0" fontId="54" fillId="39" borderId="43" xfId="12" applyNumberFormat="1" applyFont="1" applyFill="1" applyBorder="1" applyAlignment="1">
      <alignment horizontal="center" vertical="center"/>
    </xf>
    <xf numFmtId="0" fontId="62" fillId="38" borderId="42" xfId="0" applyFont="1" applyFill="1" applyBorder="1" applyAlignment="1">
      <alignment horizontal="center" vertical="center" wrapText="1"/>
    </xf>
    <xf numFmtId="170" fontId="28" fillId="21" borderId="44" xfId="12" applyNumberFormat="1" applyFont="1" applyFill="1" applyBorder="1" applyAlignment="1">
      <alignment horizontal="center"/>
    </xf>
    <xf numFmtId="170" fontId="28" fillId="21" borderId="0" xfId="12" applyNumberFormat="1" applyFont="1" applyFill="1" applyAlignment="1">
      <alignment horizontal="center"/>
    </xf>
    <xf numFmtId="170" fontId="28" fillId="20" borderId="1" xfId="12" applyNumberFormat="1" applyFont="1" applyFill="1" applyBorder="1" applyAlignment="1">
      <alignment horizontal="center"/>
    </xf>
    <xf numFmtId="170" fontId="28" fillId="20" borderId="2" xfId="12" applyNumberFormat="1" applyFont="1" applyFill="1" applyBorder="1" applyAlignment="1">
      <alignment horizontal="center"/>
    </xf>
    <xf numFmtId="170" fontId="28" fillId="20" borderId="3" xfId="12" applyNumberFormat="1" applyFont="1" applyFill="1" applyBorder="1" applyAlignment="1">
      <alignment horizontal="center"/>
    </xf>
    <xf numFmtId="170" fontId="28" fillId="20" borderId="44" xfId="12" applyNumberFormat="1" applyFont="1" applyFill="1" applyBorder="1" applyAlignment="1">
      <alignment horizontal="center"/>
    </xf>
    <xf numFmtId="170" fontId="28" fillId="20" borderId="0" xfId="12" applyNumberFormat="1" applyFont="1" applyFill="1" applyAlignment="1">
      <alignment horizontal="center"/>
    </xf>
    <xf numFmtId="170" fontId="28" fillId="20" borderId="51" xfId="12" applyNumberFormat="1" applyFont="1" applyFill="1" applyBorder="1" applyAlignment="1">
      <alignment horizontal="center"/>
    </xf>
    <xf numFmtId="3" fontId="14" fillId="2" borderId="12" xfId="0" applyNumberFormat="1" applyFont="1" applyFill="1" applyBorder="1" applyAlignment="1">
      <alignment horizontal="center" vertical="center"/>
    </xf>
    <xf numFmtId="0" fontId="0" fillId="0" borderId="12" xfId="0" applyBorder="1"/>
    <xf numFmtId="3" fontId="41" fillId="35" borderId="14" xfId="0" applyNumberFormat="1" applyFont="1" applyFill="1" applyBorder="1" applyAlignment="1">
      <alignment horizontal="center" vertical="center"/>
    </xf>
    <xf numFmtId="0" fontId="0" fillId="36" borderId="22" xfId="0" applyFill="1" applyBorder="1"/>
    <xf numFmtId="0" fontId="0" fillId="36" borderId="23" xfId="0" applyFill="1" applyBorder="1"/>
    <xf numFmtId="3" fontId="41" fillId="6" borderId="0" xfId="0" applyNumberFormat="1" applyFont="1" applyFill="1" applyAlignment="1">
      <alignment horizontal="center" vertical="center" wrapText="1"/>
    </xf>
    <xf numFmtId="0" fontId="42" fillId="0" borderId="0" xfId="0" applyFont="1"/>
    <xf numFmtId="3" fontId="41" fillId="35" borderId="18" xfId="0" applyNumberFormat="1" applyFont="1" applyFill="1" applyBorder="1" applyAlignment="1">
      <alignment horizontal="center" vertical="center"/>
    </xf>
    <xf numFmtId="0" fontId="0" fillId="36" borderId="37" xfId="0" applyFill="1" applyBorder="1"/>
    <xf numFmtId="0" fontId="0" fillId="36" borderId="38" xfId="0" applyFill="1" applyBorder="1"/>
    <xf numFmtId="9" fontId="41" fillId="35" borderId="19" xfId="0" applyNumberFormat="1" applyFont="1" applyFill="1" applyBorder="1" applyAlignment="1">
      <alignment horizontal="center" vertical="center"/>
    </xf>
    <xf numFmtId="0" fontId="0" fillId="36" borderId="39" xfId="0" applyFill="1" applyBorder="1"/>
    <xf numFmtId="0" fontId="41" fillId="5" borderId="10" xfId="0" applyFont="1" applyFill="1" applyBorder="1" applyAlignment="1">
      <alignment horizontal="center" vertical="center" wrapText="1"/>
    </xf>
    <xf numFmtId="0" fontId="0" fillId="0" borderId="41" xfId="0" applyBorder="1"/>
    <xf numFmtId="0" fontId="0" fillId="0" borderId="33" xfId="0" applyBorder="1"/>
    <xf numFmtId="3" fontId="41" fillId="4" borderId="0" xfId="0" applyNumberFormat="1" applyFont="1" applyFill="1" applyAlignment="1">
      <alignment horizontal="center" vertical="center"/>
    </xf>
    <xf numFmtId="165" fontId="41" fillId="35" borderId="13" xfId="0" applyNumberFormat="1" applyFont="1" applyFill="1" applyBorder="1" applyAlignment="1">
      <alignment horizontal="center" vertical="center"/>
    </xf>
    <xf numFmtId="0" fontId="0" fillId="36" borderId="7" xfId="0" applyFill="1" applyBorder="1"/>
    <xf numFmtId="0" fontId="41" fillId="5" borderId="10" xfId="0" applyFont="1" applyFill="1" applyBorder="1" applyAlignment="1">
      <alignment horizontal="center" vertical="center"/>
    </xf>
    <xf numFmtId="3" fontId="41" fillId="35" borderId="4" xfId="0" applyNumberFormat="1" applyFont="1" applyFill="1" applyBorder="1" applyAlignment="1">
      <alignment horizontal="center" vertical="center"/>
    </xf>
    <xf numFmtId="0" fontId="0" fillId="36" borderId="34" xfId="0" applyFill="1" applyBorder="1"/>
    <xf numFmtId="0" fontId="0" fillId="36" borderId="40" xfId="0" applyFill="1" applyBorder="1"/>
    <xf numFmtId="168" fontId="41" fillId="2" borderId="44" xfId="0" applyNumberFormat="1" applyFont="1" applyFill="1" applyBorder="1" applyAlignment="1">
      <alignment horizontal="center" vertical="center" wrapText="1"/>
    </xf>
    <xf numFmtId="3" fontId="41" fillId="3" borderId="3" xfId="0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168" fontId="41" fillId="35" borderId="5" xfId="0" applyNumberFormat="1" applyFont="1" applyFill="1" applyBorder="1" applyAlignment="1">
      <alignment horizontal="center" vertical="center"/>
    </xf>
    <xf numFmtId="0" fontId="0" fillId="36" borderId="35" xfId="0" applyFill="1" applyBorder="1"/>
    <xf numFmtId="3" fontId="41" fillId="3" borderId="0" xfId="0" applyNumberFormat="1" applyFont="1" applyFill="1" applyAlignment="1">
      <alignment horizontal="center" vertical="center"/>
    </xf>
    <xf numFmtId="0" fontId="14" fillId="26" borderId="0" xfId="0" applyFont="1" applyFill="1" applyAlignment="1">
      <alignment horizontal="center" vertical="center"/>
    </xf>
    <xf numFmtId="0" fontId="15" fillId="0" borderId="0" xfId="0" applyFont="1"/>
    <xf numFmtId="170" fontId="15" fillId="0" borderId="0" xfId="12" applyNumberFormat="1" applyFont="1"/>
    <xf numFmtId="9" fontId="15" fillId="0" borderId="0" xfId="0" applyNumberFormat="1" applyFont="1"/>
    <xf numFmtId="0" fontId="14" fillId="27" borderId="0" xfId="0" applyFont="1" applyFill="1" applyAlignment="1">
      <alignment horizontal="center" vertical="center"/>
    </xf>
    <xf numFmtId="169" fontId="15" fillId="0" borderId="0" xfId="0" applyNumberFormat="1" applyFont="1"/>
    <xf numFmtId="0" fontId="60" fillId="16" borderId="0" xfId="0" applyFont="1" applyFill="1" applyAlignment="1">
      <alignment horizontal="center" vertical="center" wrapText="1"/>
    </xf>
    <xf numFmtId="0" fontId="62" fillId="40" borderId="25" xfId="0" applyFont="1" applyFill="1" applyBorder="1" applyAlignment="1">
      <alignment horizontal="center" vertical="center" wrapText="1"/>
    </xf>
  </cellXfs>
  <cellStyles count="1540">
    <cellStyle name="Comma" xfId="1537" builtinId="3"/>
    <cellStyle name="Comma 2" xfId="1" xr:uid="{00000000-0005-0000-0000-000001000000}"/>
    <cellStyle name="Comma 2 2" xfId="2" xr:uid="{00000000-0005-0000-0000-000002000000}"/>
    <cellStyle name="Comma 3" xfId="3" xr:uid="{00000000-0005-0000-0000-000003000000}"/>
    <cellStyle name="Comma 3 2" xfId="4" xr:uid="{00000000-0005-0000-0000-000004000000}"/>
    <cellStyle name="Comma 4" xfId="5" xr:uid="{00000000-0005-0000-0000-000005000000}"/>
    <cellStyle name="Comma 5" xfId="6" xr:uid="{00000000-0005-0000-0000-000006000000}"/>
    <cellStyle name="Comma 5 2" xfId="7" xr:uid="{00000000-0005-0000-0000-000007000000}"/>
    <cellStyle name="Comma 6" xfId="8" xr:uid="{00000000-0005-0000-0000-000008000000}"/>
    <cellStyle name="Comma 6 2" xfId="9" xr:uid="{00000000-0005-0000-0000-000009000000}"/>
    <cellStyle name="Comma 7" xfId="10" xr:uid="{00000000-0005-0000-0000-00000A000000}"/>
    <cellStyle name="Comma 7 2" xfId="11" xr:uid="{00000000-0005-0000-0000-00000B000000}"/>
    <cellStyle name="Comma 8" xfId="12" xr:uid="{00000000-0005-0000-0000-00000C000000}"/>
    <cellStyle name="Comma 8 2" xfId="13" xr:uid="{00000000-0005-0000-0000-00000D000000}"/>
    <cellStyle name="Comma 9" xfId="14" xr:uid="{00000000-0005-0000-0000-00000E000000}"/>
    <cellStyle name="Comma 9 2" xfId="15" xr:uid="{00000000-0005-0000-0000-00000F000000}"/>
    <cellStyle name="Currency" xfId="1538" builtinId="4"/>
    <cellStyle name="Currency 10" xfId="16" xr:uid="{00000000-0005-0000-0000-000010000000}"/>
    <cellStyle name="Currency 10 2" xfId="17" xr:uid="{00000000-0005-0000-0000-000011000000}"/>
    <cellStyle name="Currency 11" xfId="18" xr:uid="{00000000-0005-0000-0000-000012000000}"/>
    <cellStyle name="Currency 11 2" xfId="19" xr:uid="{00000000-0005-0000-0000-000013000000}"/>
    <cellStyle name="Currency 12" xfId="20" xr:uid="{00000000-0005-0000-0000-000014000000}"/>
    <cellStyle name="Currency 12 2" xfId="21" xr:uid="{00000000-0005-0000-0000-000015000000}"/>
    <cellStyle name="Currency 13" xfId="22" xr:uid="{00000000-0005-0000-0000-000016000000}"/>
    <cellStyle name="Currency 13 2" xfId="23" xr:uid="{00000000-0005-0000-0000-000017000000}"/>
    <cellStyle name="Currency 14" xfId="24" xr:uid="{00000000-0005-0000-0000-000018000000}"/>
    <cellStyle name="Currency 14 2" xfId="25" xr:uid="{00000000-0005-0000-0000-000019000000}"/>
    <cellStyle name="Currency 15" xfId="26" xr:uid="{00000000-0005-0000-0000-00001A000000}"/>
    <cellStyle name="Currency 15 2" xfId="27" xr:uid="{00000000-0005-0000-0000-00001B000000}"/>
    <cellStyle name="Currency 2" xfId="28" xr:uid="{00000000-0005-0000-0000-00001C000000}"/>
    <cellStyle name="Currency 2 2" xfId="29" xr:uid="{00000000-0005-0000-0000-00001D000000}"/>
    <cellStyle name="Currency 2 3" xfId="30" xr:uid="{00000000-0005-0000-0000-00001E000000}"/>
    <cellStyle name="Currency 2 4" xfId="31" xr:uid="{00000000-0005-0000-0000-00001F000000}"/>
    <cellStyle name="Currency 3" xfId="32" xr:uid="{00000000-0005-0000-0000-000020000000}"/>
    <cellStyle name="Currency 3 2" xfId="33" xr:uid="{00000000-0005-0000-0000-000021000000}"/>
    <cellStyle name="Currency 3 2 2" xfId="34" xr:uid="{00000000-0005-0000-0000-000022000000}"/>
    <cellStyle name="Currency 4" xfId="35" xr:uid="{00000000-0005-0000-0000-000023000000}"/>
    <cellStyle name="Currency 5" xfId="36" xr:uid="{00000000-0005-0000-0000-000024000000}"/>
    <cellStyle name="Currency 6" xfId="37" xr:uid="{00000000-0005-0000-0000-000025000000}"/>
    <cellStyle name="Currency 6 2" xfId="38" xr:uid="{00000000-0005-0000-0000-000026000000}"/>
    <cellStyle name="Currency 6 2 2" xfId="39" xr:uid="{00000000-0005-0000-0000-000027000000}"/>
    <cellStyle name="Currency 6 2 2 2" xfId="40" xr:uid="{00000000-0005-0000-0000-000028000000}"/>
    <cellStyle name="Currency 6 2 2 2 2" xfId="41" xr:uid="{00000000-0005-0000-0000-000029000000}"/>
    <cellStyle name="Currency 6 2 2 2 2 2" xfId="42" xr:uid="{00000000-0005-0000-0000-00002A000000}"/>
    <cellStyle name="Currency 6 2 2 2 2 2 2" xfId="43" xr:uid="{00000000-0005-0000-0000-00002B000000}"/>
    <cellStyle name="Currency 6 2 2 2 2 3" xfId="44" xr:uid="{00000000-0005-0000-0000-00002C000000}"/>
    <cellStyle name="Currency 6 2 2 2 3" xfId="45" xr:uid="{00000000-0005-0000-0000-00002D000000}"/>
    <cellStyle name="Currency 6 2 2 2 3 2" xfId="46" xr:uid="{00000000-0005-0000-0000-00002E000000}"/>
    <cellStyle name="Currency 6 2 2 2 4" xfId="47" xr:uid="{00000000-0005-0000-0000-00002F000000}"/>
    <cellStyle name="Currency 6 2 2 3" xfId="48" xr:uid="{00000000-0005-0000-0000-000030000000}"/>
    <cellStyle name="Currency 6 2 2 3 2" xfId="49" xr:uid="{00000000-0005-0000-0000-000031000000}"/>
    <cellStyle name="Currency 6 2 2 3 2 2" xfId="50" xr:uid="{00000000-0005-0000-0000-000032000000}"/>
    <cellStyle name="Currency 6 2 2 3 3" xfId="51" xr:uid="{00000000-0005-0000-0000-000033000000}"/>
    <cellStyle name="Currency 6 2 2 4" xfId="52" xr:uid="{00000000-0005-0000-0000-000034000000}"/>
    <cellStyle name="Currency 6 2 2 4 2" xfId="53" xr:uid="{00000000-0005-0000-0000-000035000000}"/>
    <cellStyle name="Currency 6 2 2 4 2 2" xfId="54" xr:uid="{00000000-0005-0000-0000-000036000000}"/>
    <cellStyle name="Currency 6 2 2 4 3" xfId="55" xr:uid="{00000000-0005-0000-0000-000037000000}"/>
    <cellStyle name="Currency 6 2 2 5" xfId="56" xr:uid="{00000000-0005-0000-0000-000038000000}"/>
    <cellStyle name="Currency 6 2 2 5 2" xfId="57" xr:uid="{00000000-0005-0000-0000-000039000000}"/>
    <cellStyle name="Currency 6 2 2 5 2 2" xfId="58" xr:uid="{00000000-0005-0000-0000-00003A000000}"/>
    <cellStyle name="Currency 6 2 2 5 3" xfId="59" xr:uid="{00000000-0005-0000-0000-00003B000000}"/>
    <cellStyle name="Currency 6 2 2 6" xfId="60" xr:uid="{00000000-0005-0000-0000-00003C000000}"/>
    <cellStyle name="Currency 6 2 2 6 2" xfId="61" xr:uid="{00000000-0005-0000-0000-00003D000000}"/>
    <cellStyle name="Currency 6 2 2 7" xfId="62" xr:uid="{00000000-0005-0000-0000-00003E000000}"/>
    <cellStyle name="Currency 6 2 3" xfId="63" xr:uid="{00000000-0005-0000-0000-00003F000000}"/>
    <cellStyle name="Currency 6 2 3 2" xfId="64" xr:uid="{00000000-0005-0000-0000-000040000000}"/>
    <cellStyle name="Currency 6 2 3 2 2" xfId="65" xr:uid="{00000000-0005-0000-0000-000041000000}"/>
    <cellStyle name="Currency 6 2 3 2 2 2" xfId="66" xr:uid="{00000000-0005-0000-0000-000042000000}"/>
    <cellStyle name="Currency 6 2 3 2 3" xfId="67" xr:uid="{00000000-0005-0000-0000-000043000000}"/>
    <cellStyle name="Currency 6 2 3 3" xfId="68" xr:uid="{00000000-0005-0000-0000-000044000000}"/>
    <cellStyle name="Currency 6 2 3 3 2" xfId="69" xr:uid="{00000000-0005-0000-0000-000045000000}"/>
    <cellStyle name="Currency 6 2 3 3 2 2" xfId="70" xr:uid="{00000000-0005-0000-0000-000046000000}"/>
    <cellStyle name="Currency 6 2 3 3 3" xfId="71" xr:uid="{00000000-0005-0000-0000-000047000000}"/>
    <cellStyle name="Currency 6 2 3 4" xfId="72" xr:uid="{00000000-0005-0000-0000-000048000000}"/>
    <cellStyle name="Currency 6 2 3 4 2" xfId="73" xr:uid="{00000000-0005-0000-0000-000049000000}"/>
    <cellStyle name="Currency 6 2 3 4 2 2" xfId="74" xr:uid="{00000000-0005-0000-0000-00004A000000}"/>
    <cellStyle name="Currency 6 2 3 4 3" xfId="75" xr:uid="{00000000-0005-0000-0000-00004B000000}"/>
    <cellStyle name="Currency 6 2 3 5" xfId="76" xr:uid="{00000000-0005-0000-0000-00004C000000}"/>
    <cellStyle name="Currency 6 2 3 5 2" xfId="77" xr:uid="{00000000-0005-0000-0000-00004D000000}"/>
    <cellStyle name="Currency 6 2 3 6" xfId="78" xr:uid="{00000000-0005-0000-0000-00004E000000}"/>
    <cellStyle name="Currency 6 2 4" xfId="79" xr:uid="{00000000-0005-0000-0000-00004F000000}"/>
    <cellStyle name="Currency 6 2 4 2" xfId="80" xr:uid="{00000000-0005-0000-0000-000050000000}"/>
    <cellStyle name="Currency 6 2 4 2 2" xfId="81" xr:uid="{00000000-0005-0000-0000-000051000000}"/>
    <cellStyle name="Currency 6 2 4 3" xfId="82" xr:uid="{00000000-0005-0000-0000-000052000000}"/>
    <cellStyle name="Currency 6 2 5" xfId="83" xr:uid="{00000000-0005-0000-0000-000053000000}"/>
    <cellStyle name="Currency 6 2 5 2" xfId="84" xr:uid="{00000000-0005-0000-0000-000054000000}"/>
    <cellStyle name="Currency 6 2 5 2 2" xfId="85" xr:uid="{00000000-0005-0000-0000-000055000000}"/>
    <cellStyle name="Currency 6 2 5 3" xfId="86" xr:uid="{00000000-0005-0000-0000-000056000000}"/>
    <cellStyle name="Currency 6 2 6" xfId="87" xr:uid="{00000000-0005-0000-0000-000057000000}"/>
    <cellStyle name="Currency 6 2 6 2" xfId="88" xr:uid="{00000000-0005-0000-0000-000058000000}"/>
    <cellStyle name="Currency 6 2 6 2 2" xfId="89" xr:uid="{00000000-0005-0000-0000-000059000000}"/>
    <cellStyle name="Currency 6 2 6 3" xfId="90" xr:uid="{00000000-0005-0000-0000-00005A000000}"/>
    <cellStyle name="Currency 6 2 7" xfId="91" xr:uid="{00000000-0005-0000-0000-00005B000000}"/>
    <cellStyle name="Currency 6 2 7 2" xfId="92" xr:uid="{00000000-0005-0000-0000-00005C000000}"/>
    <cellStyle name="Currency 6 2 8" xfId="93" xr:uid="{00000000-0005-0000-0000-00005D000000}"/>
    <cellStyle name="Currency 6 3" xfId="94" xr:uid="{00000000-0005-0000-0000-00005E000000}"/>
    <cellStyle name="Currency 6 3 2" xfId="95" xr:uid="{00000000-0005-0000-0000-00005F000000}"/>
    <cellStyle name="Currency 6 3 2 2" xfId="96" xr:uid="{00000000-0005-0000-0000-000060000000}"/>
    <cellStyle name="Currency 6 3 2 2 2" xfId="97" xr:uid="{00000000-0005-0000-0000-000061000000}"/>
    <cellStyle name="Currency 6 3 2 2 2 2" xfId="98" xr:uid="{00000000-0005-0000-0000-000062000000}"/>
    <cellStyle name="Currency 6 3 2 2 3" xfId="99" xr:uid="{00000000-0005-0000-0000-000063000000}"/>
    <cellStyle name="Currency 6 3 2 3" xfId="100" xr:uid="{00000000-0005-0000-0000-000064000000}"/>
    <cellStyle name="Currency 6 3 2 3 2" xfId="101" xr:uid="{00000000-0005-0000-0000-000065000000}"/>
    <cellStyle name="Currency 6 3 2 4" xfId="102" xr:uid="{00000000-0005-0000-0000-000066000000}"/>
    <cellStyle name="Currency 6 3 3" xfId="103" xr:uid="{00000000-0005-0000-0000-000067000000}"/>
    <cellStyle name="Currency 6 3 3 2" xfId="104" xr:uid="{00000000-0005-0000-0000-000068000000}"/>
    <cellStyle name="Currency 6 3 3 2 2" xfId="105" xr:uid="{00000000-0005-0000-0000-000069000000}"/>
    <cellStyle name="Currency 6 3 3 3" xfId="106" xr:uid="{00000000-0005-0000-0000-00006A000000}"/>
    <cellStyle name="Currency 6 3 4" xfId="107" xr:uid="{00000000-0005-0000-0000-00006B000000}"/>
    <cellStyle name="Currency 6 3 4 2" xfId="108" xr:uid="{00000000-0005-0000-0000-00006C000000}"/>
    <cellStyle name="Currency 6 3 4 2 2" xfId="109" xr:uid="{00000000-0005-0000-0000-00006D000000}"/>
    <cellStyle name="Currency 6 3 4 3" xfId="110" xr:uid="{00000000-0005-0000-0000-00006E000000}"/>
    <cellStyle name="Currency 6 3 5" xfId="111" xr:uid="{00000000-0005-0000-0000-00006F000000}"/>
    <cellStyle name="Currency 6 3 5 2" xfId="112" xr:uid="{00000000-0005-0000-0000-000070000000}"/>
    <cellStyle name="Currency 6 3 5 2 2" xfId="113" xr:uid="{00000000-0005-0000-0000-000071000000}"/>
    <cellStyle name="Currency 6 3 5 3" xfId="114" xr:uid="{00000000-0005-0000-0000-000072000000}"/>
    <cellStyle name="Currency 6 3 6" xfId="115" xr:uid="{00000000-0005-0000-0000-000073000000}"/>
    <cellStyle name="Currency 6 3 6 2" xfId="116" xr:uid="{00000000-0005-0000-0000-000074000000}"/>
    <cellStyle name="Currency 6 3 7" xfId="117" xr:uid="{00000000-0005-0000-0000-000075000000}"/>
    <cellStyle name="Currency 6 4" xfId="118" xr:uid="{00000000-0005-0000-0000-000076000000}"/>
    <cellStyle name="Currency 6 4 2" xfId="119" xr:uid="{00000000-0005-0000-0000-000077000000}"/>
    <cellStyle name="Currency 6 4 2 2" xfId="120" xr:uid="{00000000-0005-0000-0000-000078000000}"/>
    <cellStyle name="Currency 6 4 2 2 2" xfId="121" xr:uid="{00000000-0005-0000-0000-000079000000}"/>
    <cellStyle name="Currency 6 4 2 3" xfId="122" xr:uid="{00000000-0005-0000-0000-00007A000000}"/>
    <cellStyle name="Currency 6 4 3" xfId="123" xr:uid="{00000000-0005-0000-0000-00007B000000}"/>
    <cellStyle name="Currency 6 4 3 2" xfId="124" xr:uid="{00000000-0005-0000-0000-00007C000000}"/>
    <cellStyle name="Currency 6 4 3 2 2" xfId="125" xr:uid="{00000000-0005-0000-0000-00007D000000}"/>
    <cellStyle name="Currency 6 4 3 3" xfId="126" xr:uid="{00000000-0005-0000-0000-00007E000000}"/>
    <cellStyle name="Currency 6 4 4" xfId="127" xr:uid="{00000000-0005-0000-0000-00007F000000}"/>
    <cellStyle name="Currency 6 4 4 2" xfId="128" xr:uid="{00000000-0005-0000-0000-000080000000}"/>
    <cellStyle name="Currency 6 4 4 2 2" xfId="129" xr:uid="{00000000-0005-0000-0000-000081000000}"/>
    <cellStyle name="Currency 6 4 4 3" xfId="130" xr:uid="{00000000-0005-0000-0000-000082000000}"/>
    <cellStyle name="Currency 6 4 5" xfId="131" xr:uid="{00000000-0005-0000-0000-000083000000}"/>
    <cellStyle name="Currency 6 4 5 2" xfId="132" xr:uid="{00000000-0005-0000-0000-000084000000}"/>
    <cellStyle name="Currency 6 4 6" xfId="133" xr:uid="{00000000-0005-0000-0000-000085000000}"/>
    <cellStyle name="Currency 6 5" xfId="134" xr:uid="{00000000-0005-0000-0000-000086000000}"/>
    <cellStyle name="Currency 6 5 2" xfId="135" xr:uid="{00000000-0005-0000-0000-000087000000}"/>
    <cellStyle name="Currency 6 5 2 2" xfId="136" xr:uid="{00000000-0005-0000-0000-000088000000}"/>
    <cellStyle name="Currency 6 5 3" xfId="137" xr:uid="{00000000-0005-0000-0000-000089000000}"/>
    <cellStyle name="Currency 6 6" xfId="138" xr:uid="{00000000-0005-0000-0000-00008A000000}"/>
    <cellStyle name="Currency 6 6 2" xfId="139" xr:uid="{00000000-0005-0000-0000-00008B000000}"/>
    <cellStyle name="Currency 6 6 2 2" xfId="140" xr:uid="{00000000-0005-0000-0000-00008C000000}"/>
    <cellStyle name="Currency 6 6 3" xfId="141" xr:uid="{00000000-0005-0000-0000-00008D000000}"/>
    <cellStyle name="Currency 6 7" xfId="142" xr:uid="{00000000-0005-0000-0000-00008E000000}"/>
    <cellStyle name="Currency 6 7 2" xfId="143" xr:uid="{00000000-0005-0000-0000-00008F000000}"/>
    <cellStyle name="Currency 6 7 2 2" xfId="144" xr:uid="{00000000-0005-0000-0000-000090000000}"/>
    <cellStyle name="Currency 6 7 3" xfId="145" xr:uid="{00000000-0005-0000-0000-000091000000}"/>
    <cellStyle name="Currency 6 8" xfId="146" xr:uid="{00000000-0005-0000-0000-000092000000}"/>
    <cellStyle name="Currency 6 8 2" xfId="147" xr:uid="{00000000-0005-0000-0000-000093000000}"/>
    <cellStyle name="Currency 6 9" xfId="148" xr:uid="{00000000-0005-0000-0000-000094000000}"/>
    <cellStyle name="Currency 7" xfId="149" xr:uid="{00000000-0005-0000-0000-000095000000}"/>
    <cellStyle name="Currency 7 2" xfId="150" xr:uid="{00000000-0005-0000-0000-000096000000}"/>
    <cellStyle name="Currency 7 2 2" xfId="151" xr:uid="{00000000-0005-0000-0000-000097000000}"/>
    <cellStyle name="Currency 7 2 2 2" xfId="152" xr:uid="{00000000-0005-0000-0000-000098000000}"/>
    <cellStyle name="Currency 7 2 2 2 2" xfId="153" xr:uid="{00000000-0005-0000-0000-000099000000}"/>
    <cellStyle name="Currency 7 2 2 2 2 2" xfId="154" xr:uid="{00000000-0005-0000-0000-00009A000000}"/>
    <cellStyle name="Currency 7 2 2 2 2 2 2" xfId="155" xr:uid="{00000000-0005-0000-0000-00009B000000}"/>
    <cellStyle name="Currency 7 2 2 2 2 3" xfId="156" xr:uid="{00000000-0005-0000-0000-00009C000000}"/>
    <cellStyle name="Currency 7 2 2 2 3" xfId="157" xr:uid="{00000000-0005-0000-0000-00009D000000}"/>
    <cellStyle name="Currency 7 2 2 2 3 2" xfId="158" xr:uid="{00000000-0005-0000-0000-00009E000000}"/>
    <cellStyle name="Currency 7 2 2 2 4" xfId="159" xr:uid="{00000000-0005-0000-0000-00009F000000}"/>
    <cellStyle name="Currency 7 2 2 3" xfId="160" xr:uid="{00000000-0005-0000-0000-0000A0000000}"/>
    <cellStyle name="Currency 7 2 2 3 2" xfId="161" xr:uid="{00000000-0005-0000-0000-0000A1000000}"/>
    <cellStyle name="Currency 7 2 2 3 2 2" xfId="162" xr:uid="{00000000-0005-0000-0000-0000A2000000}"/>
    <cellStyle name="Currency 7 2 2 3 3" xfId="163" xr:uid="{00000000-0005-0000-0000-0000A3000000}"/>
    <cellStyle name="Currency 7 2 2 4" xfId="164" xr:uid="{00000000-0005-0000-0000-0000A4000000}"/>
    <cellStyle name="Currency 7 2 2 4 2" xfId="165" xr:uid="{00000000-0005-0000-0000-0000A5000000}"/>
    <cellStyle name="Currency 7 2 2 4 2 2" xfId="166" xr:uid="{00000000-0005-0000-0000-0000A6000000}"/>
    <cellStyle name="Currency 7 2 2 4 3" xfId="167" xr:uid="{00000000-0005-0000-0000-0000A7000000}"/>
    <cellStyle name="Currency 7 2 2 5" xfId="168" xr:uid="{00000000-0005-0000-0000-0000A8000000}"/>
    <cellStyle name="Currency 7 2 2 5 2" xfId="169" xr:uid="{00000000-0005-0000-0000-0000A9000000}"/>
    <cellStyle name="Currency 7 2 2 5 2 2" xfId="170" xr:uid="{00000000-0005-0000-0000-0000AA000000}"/>
    <cellStyle name="Currency 7 2 2 5 3" xfId="171" xr:uid="{00000000-0005-0000-0000-0000AB000000}"/>
    <cellStyle name="Currency 7 2 2 6" xfId="172" xr:uid="{00000000-0005-0000-0000-0000AC000000}"/>
    <cellStyle name="Currency 7 2 2 6 2" xfId="173" xr:uid="{00000000-0005-0000-0000-0000AD000000}"/>
    <cellStyle name="Currency 7 2 2 7" xfId="174" xr:uid="{00000000-0005-0000-0000-0000AE000000}"/>
    <cellStyle name="Currency 7 2 3" xfId="175" xr:uid="{00000000-0005-0000-0000-0000AF000000}"/>
    <cellStyle name="Currency 7 2 3 2" xfId="176" xr:uid="{00000000-0005-0000-0000-0000B0000000}"/>
    <cellStyle name="Currency 7 2 3 2 2" xfId="177" xr:uid="{00000000-0005-0000-0000-0000B1000000}"/>
    <cellStyle name="Currency 7 2 3 2 2 2" xfId="178" xr:uid="{00000000-0005-0000-0000-0000B2000000}"/>
    <cellStyle name="Currency 7 2 3 2 3" xfId="179" xr:uid="{00000000-0005-0000-0000-0000B3000000}"/>
    <cellStyle name="Currency 7 2 3 3" xfId="180" xr:uid="{00000000-0005-0000-0000-0000B4000000}"/>
    <cellStyle name="Currency 7 2 3 3 2" xfId="181" xr:uid="{00000000-0005-0000-0000-0000B5000000}"/>
    <cellStyle name="Currency 7 2 3 3 2 2" xfId="182" xr:uid="{00000000-0005-0000-0000-0000B6000000}"/>
    <cellStyle name="Currency 7 2 3 3 3" xfId="183" xr:uid="{00000000-0005-0000-0000-0000B7000000}"/>
    <cellStyle name="Currency 7 2 3 4" xfId="184" xr:uid="{00000000-0005-0000-0000-0000B8000000}"/>
    <cellStyle name="Currency 7 2 3 4 2" xfId="185" xr:uid="{00000000-0005-0000-0000-0000B9000000}"/>
    <cellStyle name="Currency 7 2 3 4 2 2" xfId="186" xr:uid="{00000000-0005-0000-0000-0000BA000000}"/>
    <cellStyle name="Currency 7 2 3 4 3" xfId="187" xr:uid="{00000000-0005-0000-0000-0000BB000000}"/>
    <cellStyle name="Currency 7 2 3 5" xfId="188" xr:uid="{00000000-0005-0000-0000-0000BC000000}"/>
    <cellStyle name="Currency 7 2 3 5 2" xfId="189" xr:uid="{00000000-0005-0000-0000-0000BD000000}"/>
    <cellStyle name="Currency 7 2 3 6" xfId="190" xr:uid="{00000000-0005-0000-0000-0000BE000000}"/>
    <cellStyle name="Currency 7 2 4" xfId="191" xr:uid="{00000000-0005-0000-0000-0000BF000000}"/>
    <cellStyle name="Currency 7 2 4 2" xfId="192" xr:uid="{00000000-0005-0000-0000-0000C0000000}"/>
    <cellStyle name="Currency 7 2 4 2 2" xfId="193" xr:uid="{00000000-0005-0000-0000-0000C1000000}"/>
    <cellStyle name="Currency 7 2 4 3" xfId="194" xr:uid="{00000000-0005-0000-0000-0000C2000000}"/>
    <cellStyle name="Currency 7 2 5" xfId="195" xr:uid="{00000000-0005-0000-0000-0000C3000000}"/>
    <cellStyle name="Currency 7 2 5 2" xfId="196" xr:uid="{00000000-0005-0000-0000-0000C4000000}"/>
    <cellStyle name="Currency 7 2 5 2 2" xfId="197" xr:uid="{00000000-0005-0000-0000-0000C5000000}"/>
    <cellStyle name="Currency 7 2 5 3" xfId="198" xr:uid="{00000000-0005-0000-0000-0000C6000000}"/>
    <cellStyle name="Currency 7 2 6" xfId="199" xr:uid="{00000000-0005-0000-0000-0000C7000000}"/>
    <cellStyle name="Currency 7 2 6 2" xfId="200" xr:uid="{00000000-0005-0000-0000-0000C8000000}"/>
    <cellStyle name="Currency 7 2 6 2 2" xfId="201" xr:uid="{00000000-0005-0000-0000-0000C9000000}"/>
    <cellStyle name="Currency 7 2 6 3" xfId="202" xr:uid="{00000000-0005-0000-0000-0000CA000000}"/>
    <cellStyle name="Currency 7 2 7" xfId="203" xr:uid="{00000000-0005-0000-0000-0000CB000000}"/>
    <cellStyle name="Currency 7 2 7 2" xfId="204" xr:uid="{00000000-0005-0000-0000-0000CC000000}"/>
    <cellStyle name="Currency 7 2 8" xfId="205" xr:uid="{00000000-0005-0000-0000-0000CD000000}"/>
    <cellStyle name="Currency 7 3" xfId="206" xr:uid="{00000000-0005-0000-0000-0000CE000000}"/>
    <cellStyle name="Currency 7 3 2" xfId="207" xr:uid="{00000000-0005-0000-0000-0000CF000000}"/>
    <cellStyle name="Currency 7 3 2 2" xfId="208" xr:uid="{00000000-0005-0000-0000-0000D0000000}"/>
    <cellStyle name="Currency 7 3 2 2 2" xfId="209" xr:uid="{00000000-0005-0000-0000-0000D1000000}"/>
    <cellStyle name="Currency 7 3 2 2 2 2" xfId="210" xr:uid="{00000000-0005-0000-0000-0000D2000000}"/>
    <cellStyle name="Currency 7 3 2 2 3" xfId="211" xr:uid="{00000000-0005-0000-0000-0000D3000000}"/>
    <cellStyle name="Currency 7 3 2 3" xfId="212" xr:uid="{00000000-0005-0000-0000-0000D4000000}"/>
    <cellStyle name="Currency 7 3 2 3 2" xfId="213" xr:uid="{00000000-0005-0000-0000-0000D5000000}"/>
    <cellStyle name="Currency 7 3 2 4" xfId="214" xr:uid="{00000000-0005-0000-0000-0000D6000000}"/>
    <cellStyle name="Currency 7 3 3" xfId="215" xr:uid="{00000000-0005-0000-0000-0000D7000000}"/>
    <cellStyle name="Currency 7 3 3 2" xfId="216" xr:uid="{00000000-0005-0000-0000-0000D8000000}"/>
    <cellStyle name="Currency 7 3 3 2 2" xfId="217" xr:uid="{00000000-0005-0000-0000-0000D9000000}"/>
    <cellStyle name="Currency 7 3 3 3" xfId="218" xr:uid="{00000000-0005-0000-0000-0000DA000000}"/>
    <cellStyle name="Currency 7 3 4" xfId="219" xr:uid="{00000000-0005-0000-0000-0000DB000000}"/>
    <cellStyle name="Currency 7 3 4 2" xfId="220" xr:uid="{00000000-0005-0000-0000-0000DC000000}"/>
    <cellStyle name="Currency 7 3 4 2 2" xfId="221" xr:uid="{00000000-0005-0000-0000-0000DD000000}"/>
    <cellStyle name="Currency 7 3 4 3" xfId="222" xr:uid="{00000000-0005-0000-0000-0000DE000000}"/>
    <cellStyle name="Currency 7 3 5" xfId="223" xr:uid="{00000000-0005-0000-0000-0000DF000000}"/>
    <cellStyle name="Currency 7 3 5 2" xfId="224" xr:uid="{00000000-0005-0000-0000-0000E0000000}"/>
    <cellStyle name="Currency 7 3 5 2 2" xfId="225" xr:uid="{00000000-0005-0000-0000-0000E1000000}"/>
    <cellStyle name="Currency 7 3 5 3" xfId="226" xr:uid="{00000000-0005-0000-0000-0000E2000000}"/>
    <cellStyle name="Currency 7 3 6" xfId="227" xr:uid="{00000000-0005-0000-0000-0000E3000000}"/>
    <cellStyle name="Currency 7 3 6 2" xfId="228" xr:uid="{00000000-0005-0000-0000-0000E4000000}"/>
    <cellStyle name="Currency 7 3 7" xfId="229" xr:uid="{00000000-0005-0000-0000-0000E5000000}"/>
    <cellStyle name="Currency 7 4" xfId="230" xr:uid="{00000000-0005-0000-0000-0000E6000000}"/>
    <cellStyle name="Currency 7 4 2" xfId="231" xr:uid="{00000000-0005-0000-0000-0000E7000000}"/>
    <cellStyle name="Currency 7 4 2 2" xfId="232" xr:uid="{00000000-0005-0000-0000-0000E8000000}"/>
    <cellStyle name="Currency 7 4 2 2 2" xfId="233" xr:uid="{00000000-0005-0000-0000-0000E9000000}"/>
    <cellStyle name="Currency 7 4 2 3" xfId="234" xr:uid="{00000000-0005-0000-0000-0000EA000000}"/>
    <cellStyle name="Currency 7 4 3" xfId="235" xr:uid="{00000000-0005-0000-0000-0000EB000000}"/>
    <cellStyle name="Currency 7 4 3 2" xfId="236" xr:uid="{00000000-0005-0000-0000-0000EC000000}"/>
    <cellStyle name="Currency 7 4 3 2 2" xfId="237" xr:uid="{00000000-0005-0000-0000-0000ED000000}"/>
    <cellStyle name="Currency 7 4 3 3" xfId="238" xr:uid="{00000000-0005-0000-0000-0000EE000000}"/>
    <cellStyle name="Currency 7 4 4" xfId="239" xr:uid="{00000000-0005-0000-0000-0000EF000000}"/>
    <cellStyle name="Currency 7 4 4 2" xfId="240" xr:uid="{00000000-0005-0000-0000-0000F0000000}"/>
    <cellStyle name="Currency 7 4 4 2 2" xfId="241" xr:uid="{00000000-0005-0000-0000-0000F1000000}"/>
    <cellStyle name="Currency 7 4 4 3" xfId="242" xr:uid="{00000000-0005-0000-0000-0000F2000000}"/>
    <cellStyle name="Currency 7 4 5" xfId="243" xr:uid="{00000000-0005-0000-0000-0000F3000000}"/>
    <cellStyle name="Currency 7 4 5 2" xfId="244" xr:uid="{00000000-0005-0000-0000-0000F4000000}"/>
    <cellStyle name="Currency 7 4 6" xfId="245" xr:uid="{00000000-0005-0000-0000-0000F5000000}"/>
    <cellStyle name="Currency 7 5" xfId="246" xr:uid="{00000000-0005-0000-0000-0000F6000000}"/>
    <cellStyle name="Currency 7 5 2" xfId="247" xr:uid="{00000000-0005-0000-0000-0000F7000000}"/>
    <cellStyle name="Currency 7 5 2 2" xfId="248" xr:uid="{00000000-0005-0000-0000-0000F8000000}"/>
    <cellStyle name="Currency 7 5 3" xfId="249" xr:uid="{00000000-0005-0000-0000-0000F9000000}"/>
    <cellStyle name="Currency 7 6" xfId="250" xr:uid="{00000000-0005-0000-0000-0000FA000000}"/>
    <cellStyle name="Currency 7 6 2" xfId="251" xr:uid="{00000000-0005-0000-0000-0000FB000000}"/>
    <cellStyle name="Currency 7 6 2 2" xfId="252" xr:uid="{00000000-0005-0000-0000-0000FC000000}"/>
    <cellStyle name="Currency 7 6 3" xfId="253" xr:uid="{00000000-0005-0000-0000-0000FD000000}"/>
    <cellStyle name="Currency 7 7" xfId="254" xr:uid="{00000000-0005-0000-0000-0000FE000000}"/>
    <cellStyle name="Currency 7 7 2" xfId="255" xr:uid="{00000000-0005-0000-0000-0000FF000000}"/>
    <cellStyle name="Currency 7 7 2 2" xfId="256" xr:uid="{00000000-0005-0000-0000-000000010000}"/>
    <cellStyle name="Currency 7 7 3" xfId="257" xr:uid="{00000000-0005-0000-0000-000001010000}"/>
    <cellStyle name="Currency 7 8" xfId="258" xr:uid="{00000000-0005-0000-0000-000002010000}"/>
    <cellStyle name="Currency 7 8 2" xfId="259" xr:uid="{00000000-0005-0000-0000-000003010000}"/>
    <cellStyle name="Currency 7 9" xfId="260" xr:uid="{00000000-0005-0000-0000-000004010000}"/>
    <cellStyle name="Currency 8" xfId="261" xr:uid="{00000000-0005-0000-0000-000005010000}"/>
    <cellStyle name="Currency 8 2" xfId="262" xr:uid="{00000000-0005-0000-0000-000006010000}"/>
    <cellStyle name="Currency 8 2 2" xfId="263" xr:uid="{00000000-0005-0000-0000-000007010000}"/>
    <cellStyle name="Currency 8 2 2 2" xfId="264" xr:uid="{00000000-0005-0000-0000-000008010000}"/>
    <cellStyle name="Currency 8 2 2 2 2" xfId="265" xr:uid="{00000000-0005-0000-0000-000009010000}"/>
    <cellStyle name="Currency 8 2 2 2 2 2" xfId="266" xr:uid="{00000000-0005-0000-0000-00000A010000}"/>
    <cellStyle name="Currency 8 2 2 2 3" xfId="267" xr:uid="{00000000-0005-0000-0000-00000B010000}"/>
    <cellStyle name="Currency 8 2 2 3" xfId="268" xr:uid="{00000000-0005-0000-0000-00000C010000}"/>
    <cellStyle name="Currency 8 2 2 3 2" xfId="269" xr:uid="{00000000-0005-0000-0000-00000D010000}"/>
    <cellStyle name="Currency 8 2 2 4" xfId="270" xr:uid="{00000000-0005-0000-0000-00000E010000}"/>
    <cellStyle name="Currency 8 2 3" xfId="271" xr:uid="{00000000-0005-0000-0000-00000F010000}"/>
    <cellStyle name="Currency 8 2 3 2" xfId="272" xr:uid="{00000000-0005-0000-0000-000010010000}"/>
    <cellStyle name="Currency 8 2 3 2 2" xfId="273" xr:uid="{00000000-0005-0000-0000-000011010000}"/>
    <cellStyle name="Currency 8 2 3 3" xfId="274" xr:uid="{00000000-0005-0000-0000-000012010000}"/>
    <cellStyle name="Currency 8 2 4" xfId="275" xr:uid="{00000000-0005-0000-0000-000013010000}"/>
    <cellStyle name="Currency 8 2 4 2" xfId="276" xr:uid="{00000000-0005-0000-0000-000014010000}"/>
    <cellStyle name="Currency 8 2 5" xfId="277" xr:uid="{00000000-0005-0000-0000-000015010000}"/>
    <cellStyle name="Currency 8 3" xfId="278" xr:uid="{00000000-0005-0000-0000-000016010000}"/>
    <cellStyle name="Currency 8 3 2" xfId="279" xr:uid="{00000000-0005-0000-0000-000017010000}"/>
    <cellStyle name="Currency 8 3 2 2" xfId="280" xr:uid="{00000000-0005-0000-0000-000018010000}"/>
    <cellStyle name="Currency 8 3 2 2 2" xfId="281" xr:uid="{00000000-0005-0000-0000-000019010000}"/>
    <cellStyle name="Currency 8 3 2 3" xfId="282" xr:uid="{00000000-0005-0000-0000-00001A010000}"/>
    <cellStyle name="Currency 8 3 3" xfId="283" xr:uid="{00000000-0005-0000-0000-00001B010000}"/>
    <cellStyle name="Currency 8 3 3 2" xfId="284" xr:uid="{00000000-0005-0000-0000-00001C010000}"/>
    <cellStyle name="Currency 8 3 4" xfId="285" xr:uid="{00000000-0005-0000-0000-00001D010000}"/>
    <cellStyle name="Currency 8 4" xfId="286" xr:uid="{00000000-0005-0000-0000-00001E010000}"/>
    <cellStyle name="Currency 8 4 2" xfId="287" xr:uid="{00000000-0005-0000-0000-00001F010000}"/>
    <cellStyle name="Currency 8 4 2 2" xfId="288" xr:uid="{00000000-0005-0000-0000-000020010000}"/>
    <cellStyle name="Currency 8 4 3" xfId="289" xr:uid="{00000000-0005-0000-0000-000021010000}"/>
    <cellStyle name="Currency 8 5" xfId="290" xr:uid="{00000000-0005-0000-0000-000022010000}"/>
    <cellStyle name="Currency 8 5 2" xfId="291" xr:uid="{00000000-0005-0000-0000-000023010000}"/>
    <cellStyle name="Currency 8 5 2 2" xfId="292" xr:uid="{00000000-0005-0000-0000-000024010000}"/>
    <cellStyle name="Currency 8 5 3" xfId="293" xr:uid="{00000000-0005-0000-0000-000025010000}"/>
    <cellStyle name="Currency 8 6" xfId="294" xr:uid="{00000000-0005-0000-0000-000026010000}"/>
    <cellStyle name="Currency 8 6 2" xfId="295" xr:uid="{00000000-0005-0000-0000-000027010000}"/>
    <cellStyle name="Currency 8 6 2 2" xfId="296" xr:uid="{00000000-0005-0000-0000-000028010000}"/>
    <cellStyle name="Currency 8 6 3" xfId="297" xr:uid="{00000000-0005-0000-0000-000029010000}"/>
    <cellStyle name="Currency 8 7" xfId="298" xr:uid="{00000000-0005-0000-0000-00002A010000}"/>
    <cellStyle name="Currency 8 7 2" xfId="299" xr:uid="{00000000-0005-0000-0000-00002B010000}"/>
    <cellStyle name="Currency 8 8" xfId="300" xr:uid="{00000000-0005-0000-0000-00002C010000}"/>
    <cellStyle name="Currency 8 8 2" xfId="301" xr:uid="{00000000-0005-0000-0000-00002D010000}"/>
    <cellStyle name="Currency 8 9" xfId="302" xr:uid="{00000000-0005-0000-0000-00002E010000}"/>
    <cellStyle name="Currency 9" xfId="303" xr:uid="{00000000-0005-0000-0000-00002F010000}"/>
    <cellStyle name="Currency 9 2" xfId="304" xr:uid="{00000000-0005-0000-0000-000030010000}"/>
    <cellStyle name="Currency 9 2 2" xfId="305" xr:uid="{00000000-0005-0000-0000-000031010000}"/>
    <cellStyle name="Currency 9 2 2 2" xfId="306" xr:uid="{00000000-0005-0000-0000-000032010000}"/>
    <cellStyle name="Currency 9 2 3" xfId="307" xr:uid="{00000000-0005-0000-0000-000033010000}"/>
    <cellStyle name="Currency 9 3" xfId="308" xr:uid="{00000000-0005-0000-0000-000034010000}"/>
    <cellStyle name="Currency 9 3 2" xfId="309" xr:uid="{00000000-0005-0000-0000-000035010000}"/>
    <cellStyle name="Currency 9 4" xfId="310" xr:uid="{00000000-0005-0000-0000-000036010000}"/>
    <cellStyle name="Normal" xfId="0" builtinId="0"/>
    <cellStyle name="Normal 10" xfId="311" xr:uid="{00000000-0005-0000-0000-000037010000}"/>
    <cellStyle name="Normal 10 2" xfId="312" xr:uid="{00000000-0005-0000-0000-000038010000}"/>
    <cellStyle name="Normal 10 2 2" xfId="313" xr:uid="{00000000-0005-0000-0000-000039010000}"/>
    <cellStyle name="Normal 10 2 2 2" xfId="314" xr:uid="{00000000-0005-0000-0000-00003A010000}"/>
    <cellStyle name="Normal 10 2 2 2 2" xfId="315" xr:uid="{00000000-0005-0000-0000-00003B010000}"/>
    <cellStyle name="Normal 10 2 2 2 2 2" xfId="316" xr:uid="{00000000-0005-0000-0000-00003C010000}"/>
    <cellStyle name="Normal 10 2 2 2 2 2 2" xfId="317" xr:uid="{00000000-0005-0000-0000-00003D010000}"/>
    <cellStyle name="Normal 10 2 2 2 2 3" xfId="318" xr:uid="{00000000-0005-0000-0000-00003E010000}"/>
    <cellStyle name="Normal 10 2 2 2 3" xfId="319" xr:uid="{00000000-0005-0000-0000-00003F010000}"/>
    <cellStyle name="Normal 10 2 2 2 3 2" xfId="320" xr:uid="{00000000-0005-0000-0000-000040010000}"/>
    <cellStyle name="Normal 10 2 2 2 4" xfId="321" xr:uid="{00000000-0005-0000-0000-000041010000}"/>
    <cellStyle name="Normal 10 2 2 3" xfId="322" xr:uid="{00000000-0005-0000-0000-000042010000}"/>
    <cellStyle name="Normal 10 2 2 3 2" xfId="323" xr:uid="{00000000-0005-0000-0000-000043010000}"/>
    <cellStyle name="Normal 10 2 2 3 2 2" xfId="324" xr:uid="{00000000-0005-0000-0000-000044010000}"/>
    <cellStyle name="Normal 10 2 2 3 3" xfId="325" xr:uid="{00000000-0005-0000-0000-000045010000}"/>
    <cellStyle name="Normal 10 2 2 4" xfId="326" xr:uid="{00000000-0005-0000-0000-000046010000}"/>
    <cellStyle name="Normal 10 2 2 4 2" xfId="327" xr:uid="{00000000-0005-0000-0000-000047010000}"/>
    <cellStyle name="Normal 10 2 2 4 2 2" xfId="328" xr:uid="{00000000-0005-0000-0000-000048010000}"/>
    <cellStyle name="Normal 10 2 2 4 3" xfId="329" xr:uid="{00000000-0005-0000-0000-000049010000}"/>
    <cellStyle name="Normal 10 2 2 5" xfId="330" xr:uid="{00000000-0005-0000-0000-00004A010000}"/>
    <cellStyle name="Normal 10 2 2 5 2" xfId="331" xr:uid="{00000000-0005-0000-0000-00004B010000}"/>
    <cellStyle name="Normal 10 2 2 5 2 2" xfId="332" xr:uid="{00000000-0005-0000-0000-00004C010000}"/>
    <cellStyle name="Normal 10 2 2 5 3" xfId="333" xr:uid="{00000000-0005-0000-0000-00004D010000}"/>
    <cellStyle name="Normal 10 2 2 6" xfId="334" xr:uid="{00000000-0005-0000-0000-00004E010000}"/>
    <cellStyle name="Normal 10 2 2 6 2" xfId="335" xr:uid="{00000000-0005-0000-0000-00004F010000}"/>
    <cellStyle name="Normal 10 2 2 7" xfId="336" xr:uid="{00000000-0005-0000-0000-000050010000}"/>
    <cellStyle name="Normal 10 2 3" xfId="337" xr:uid="{00000000-0005-0000-0000-000051010000}"/>
    <cellStyle name="Normal 10 2 3 2" xfId="338" xr:uid="{00000000-0005-0000-0000-000052010000}"/>
    <cellStyle name="Normal 10 2 3 2 2" xfId="339" xr:uid="{00000000-0005-0000-0000-000053010000}"/>
    <cellStyle name="Normal 10 2 3 2 2 2" xfId="340" xr:uid="{00000000-0005-0000-0000-000054010000}"/>
    <cellStyle name="Normal 10 2 3 2 3" xfId="341" xr:uid="{00000000-0005-0000-0000-000055010000}"/>
    <cellStyle name="Normal 10 2 3 3" xfId="342" xr:uid="{00000000-0005-0000-0000-000056010000}"/>
    <cellStyle name="Normal 10 2 3 3 2" xfId="343" xr:uid="{00000000-0005-0000-0000-000057010000}"/>
    <cellStyle name="Normal 10 2 3 3 2 2" xfId="344" xr:uid="{00000000-0005-0000-0000-000058010000}"/>
    <cellStyle name="Normal 10 2 3 3 3" xfId="345" xr:uid="{00000000-0005-0000-0000-000059010000}"/>
    <cellStyle name="Normal 10 2 3 4" xfId="346" xr:uid="{00000000-0005-0000-0000-00005A010000}"/>
    <cellStyle name="Normal 10 2 3 4 2" xfId="347" xr:uid="{00000000-0005-0000-0000-00005B010000}"/>
    <cellStyle name="Normal 10 2 3 4 2 2" xfId="348" xr:uid="{00000000-0005-0000-0000-00005C010000}"/>
    <cellStyle name="Normal 10 2 3 4 3" xfId="349" xr:uid="{00000000-0005-0000-0000-00005D010000}"/>
    <cellStyle name="Normal 10 2 3 5" xfId="350" xr:uid="{00000000-0005-0000-0000-00005E010000}"/>
    <cellStyle name="Normal 10 2 3 5 2" xfId="351" xr:uid="{00000000-0005-0000-0000-00005F010000}"/>
    <cellStyle name="Normal 10 2 3 6" xfId="352" xr:uid="{00000000-0005-0000-0000-000060010000}"/>
    <cellStyle name="Normal 10 2 4" xfId="353" xr:uid="{00000000-0005-0000-0000-000061010000}"/>
    <cellStyle name="Normal 10 2 4 2" xfId="354" xr:uid="{00000000-0005-0000-0000-000062010000}"/>
    <cellStyle name="Normal 10 2 4 2 2" xfId="355" xr:uid="{00000000-0005-0000-0000-000063010000}"/>
    <cellStyle name="Normal 10 2 4 3" xfId="356" xr:uid="{00000000-0005-0000-0000-000064010000}"/>
    <cellStyle name="Normal 10 2 5" xfId="357" xr:uid="{00000000-0005-0000-0000-000065010000}"/>
    <cellStyle name="Normal 10 2 5 2" xfId="358" xr:uid="{00000000-0005-0000-0000-000066010000}"/>
    <cellStyle name="Normal 10 2 5 2 2" xfId="359" xr:uid="{00000000-0005-0000-0000-000067010000}"/>
    <cellStyle name="Normal 10 2 5 3" xfId="360" xr:uid="{00000000-0005-0000-0000-000068010000}"/>
    <cellStyle name="Normal 10 2 6" xfId="361" xr:uid="{00000000-0005-0000-0000-000069010000}"/>
    <cellStyle name="Normal 10 2 6 2" xfId="362" xr:uid="{00000000-0005-0000-0000-00006A010000}"/>
    <cellStyle name="Normal 10 2 6 2 2" xfId="363" xr:uid="{00000000-0005-0000-0000-00006B010000}"/>
    <cellStyle name="Normal 10 2 6 3" xfId="364" xr:uid="{00000000-0005-0000-0000-00006C010000}"/>
    <cellStyle name="Normal 10 2 7" xfId="365" xr:uid="{00000000-0005-0000-0000-00006D010000}"/>
    <cellStyle name="Normal 10 2 7 2" xfId="366" xr:uid="{00000000-0005-0000-0000-00006E010000}"/>
    <cellStyle name="Normal 10 2 8" xfId="367" xr:uid="{00000000-0005-0000-0000-00006F010000}"/>
    <cellStyle name="Normal 10 3" xfId="368" xr:uid="{00000000-0005-0000-0000-000070010000}"/>
    <cellStyle name="Normal 10 3 2" xfId="369" xr:uid="{00000000-0005-0000-0000-000071010000}"/>
    <cellStyle name="Normal 10 3 2 2" xfId="370" xr:uid="{00000000-0005-0000-0000-000072010000}"/>
    <cellStyle name="Normal 10 3 2 2 2" xfId="371" xr:uid="{00000000-0005-0000-0000-000073010000}"/>
    <cellStyle name="Normal 10 3 2 2 2 2" xfId="372" xr:uid="{00000000-0005-0000-0000-000074010000}"/>
    <cellStyle name="Normal 10 3 2 2 3" xfId="373" xr:uid="{00000000-0005-0000-0000-000075010000}"/>
    <cellStyle name="Normal 10 3 2 3" xfId="374" xr:uid="{00000000-0005-0000-0000-000076010000}"/>
    <cellStyle name="Normal 10 3 2 3 2" xfId="375" xr:uid="{00000000-0005-0000-0000-000077010000}"/>
    <cellStyle name="Normal 10 3 2 4" xfId="376" xr:uid="{00000000-0005-0000-0000-000078010000}"/>
    <cellStyle name="Normal 10 3 3" xfId="377" xr:uid="{00000000-0005-0000-0000-000079010000}"/>
    <cellStyle name="Normal 10 3 3 2" xfId="378" xr:uid="{00000000-0005-0000-0000-00007A010000}"/>
    <cellStyle name="Normal 10 3 3 2 2" xfId="379" xr:uid="{00000000-0005-0000-0000-00007B010000}"/>
    <cellStyle name="Normal 10 3 3 3" xfId="380" xr:uid="{00000000-0005-0000-0000-00007C010000}"/>
    <cellStyle name="Normal 10 3 4" xfId="381" xr:uid="{00000000-0005-0000-0000-00007D010000}"/>
    <cellStyle name="Normal 10 3 4 2" xfId="382" xr:uid="{00000000-0005-0000-0000-00007E010000}"/>
    <cellStyle name="Normal 10 3 4 2 2" xfId="383" xr:uid="{00000000-0005-0000-0000-00007F010000}"/>
    <cellStyle name="Normal 10 3 4 3" xfId="384" xr:uid="{00000000-0005-0000-0000-000080010000}"/>
    <cellStyle name="Normal 10 3 5" xfId="385" xr:uid="{00000000-0005-0000-0000-000081010000}"/>
    <cellStyle name="Normal 10 3 5 2" xfId="386" xr:uid="{00000000-0005-0000-0000-000082010000}"/>
    <cellStyle name="Normal 10 3 5 2 2" xfId="387" xr:uid="{00000000-0005-0000-0000-000083010000}"/>
    <cellStyle name="Normal 10 3 5 3" xfId="388" xr:uid="{00000000-0005-0000-0000-000084010000}"/>
    <cellStyle name="Normal 10 3 6" xfId="389" xr:uid="{00000000-0005-0000-0000-000085010000}"/>
    <cellStyle name="Normal 10 3 6 2" xfId="390" xr:uid="{00000000-0005-0000-0000-000086010000}"/>
    <cellStyle name="Normal 10 3 7" xfId="391" xr:uid="{00000000-0005-0000-0000-000087010000}"/>
    <cellStyle name="Normal 10 4" xfId="392" xr:uid="{00000000-0005-0000-0000-000088010000}"/>
    <cellStyle name="Normal 10 4 2" xfId="393" xr:uid="{00000000-0005-0000-0000-000089010000}"/>
    <cellStyle name="Normal 10 4 2 2" xfId="394" xr:uid="{00000000-0005-0000-0000-00008A010000}"/>
    <cellStyle name="Normal 10 4 2 2 2" xfId="395" xr:uid="{00000000-0005-0000-0000-00008B010000}"/>
    <cellStyle name="Normal 10 4 2 3" xfId="396" xr:uid="{00000000-0005-0000-0000-00008C010000}"/>
    <cellStyle name="Normal 10 4 3" xfId="397" xr:uid="{00000000-0005-0000-0000-00008D010000}"/>
    <cellStyle name="Normal 10 4 3 2" xfId="398" xr:uid="{00000000-0005-0000-0000-00008E010000}"/>
    <cellStyle name="Normal 10 4 3 2 2" xfId="399" xr:uid="{00000000-0005-0000-0000-00008F010000}"/>
    <cellStyle name="Normal 10 4 3 3" xfId="400" xr:uid="{00000000-0005-0000-0000-000090010000}"/>
    <cellStyle name="Normal 10 4 4" xfId="401" xr:uid="{00000000-0005-0000-0000-000091010000}"/>
    <cellStyle name="Normal 10 4 4 2" xfId="402" xr:uid="{00000000-0005-0000-0000-000092010000}"/>
    <cellStyle name="Normal 10 4 4 2 2" xfId="403" xr:uid="{00000000-0005-0000-0000-000093010000}"/>
    <cellStyle name="Normal 10 4 4 3" xfId="404" xr:uid="{00000000-0005-0000-0000-000094010000}"/>
    <cellStyle name="Normal 10 4 5" xfId="405" xr:uid="{00000000-0005-0000-0000-000095010000}"/>
    <cellStyle name="Normal 10 4 5 2" xfId="406" xr:uid="{00000000-0005-0000-0000-000096010000}"/>
    <cellStyle name="Normal 10 4 6" xfId="407" xr:uid="{00000000-0005-0000-0000-000097010000}"/>
    <cellStyle name="Normal 10 5" xfId="408" xr:uid="{00000000-0005-0000-0000-000098010000}"/>
    <cellStyle name="Normal 10 5 2" xfId="409" xr:uid="{00000000-0005-0000-0000-000099010000}"/>
    <cellStyle name="Normal 10 5 2 2" xfId="410" xr:uid="{00000000-0005-0000-0000-00009A010000}"/>
    <cellStyle name="Normal 10 5 3" xfId="411" xr:uid="{00000000-0005-0000-0000-00009B010000}"/>
    <cellStyle name="Normal 10 6" xfId="412" xr:uid="{00000000-0005-0000-0000-00009C010000}"/>
    <cellStyle name="Normal 10 6 2" xfId="413" xr:uid="{00000000-0005-0000-0000-00009D010000}"/>
    <cellStyle name="Normal 10 6 2 2" xfId="414" xr:uid="{00000000-0005-0000-0000-00009E010000}"/>
    <cellStyle name="Normal 10 6 3" xfId="415" xr:uid="{00000000-0005-0000-0000-00009F010000}"/>
    <cellStyle name="Normal 10 7" xfId="416" xr:uid="{00000000-0005-0000-0000-0000A0010000}"/>
    <cellStyle name="Normal 10 7 2" xfId="417" xr:uid="{00000000-0005-0000-0000-0000A1010000}"/>
    <cellStyle name="Normal 10 7 2 2" xfId="418" xr:uid="{00000000-0005-0000-0000-0000A2010000}"/>
    <cellStyle name="Normal 10 7 3" xfId="419" xr:uid="{00000000-0005-0000-0000-0000A3010000}"/>
    <cellStyle name="Normal 10 8" xfId="420" xr:uid="{00000000-0005-0000-0000-0000A4010000}"/>
    <cellStyle name="Normal 10 8 2" xfId="421" xr:uid="{00000000-0005-0000-0000-0000A5010000}"/>
    <cellStyle name="Normal 10 9" xfId="422" xr:uid="{00000000-0005-0000-0000-0000A6010000}"/>
    <cellStyle name="Normal 11" xfId="423" xr:uid="{00000000-0005-0000-0000-0000A7010000}"/>
    <cellStyle name="Normal 11 2" xfId="424" xr:uid="{00000000-0005-0000-0000-0000A8010000}"/>
    <cellStyle name="Normal 11 2 2" xfId="425" xr:uid="{00000000-0005-0000-0000-0000A9010000}"/>
    <cellStyle name="Normal 12" xfId="426" xr:uid="{00000000-0005-0000-0000-0000AA010000}"/>
    <cellStyle name="Normal 12 2" xfId="427" xr:uid="{00000000-0005-0000-0000-0000AB010000}"/>
    <cellStyle name="Normal 12 2 2" xfId="428" xr:uid="{00000000-0005-0000-0000-0000AC010000}"/>
    <cellStyle name="Normal 12 2 2 2" xfId="429" xr:uid="{00000000-0005-0000-0000-0000AD010000}"/>
    <cellStyle name="Normal 12 2 3" xfId="430" xr:uid="{00000000-0005-0000-0000-0000AE010000}"/>
    <cellStyle name="Normal 12 3" xfId="431" xr:uid="{00000000-0005-0000-0000-0000AF010000}"/>
    <cellStyle name="Normal 12 3 2" xfId="432" xr:uid="{00000000-0005-0000-0000-0000B0010000}"/>
    <cellStyle name="Normal 12 3 2 2" xfId="433" xr:uid="{00000000-0005-0000-0000-0000B1010000}"/>
    <cellStyle name="Normal 12 3 3" xfId="434" xr:uid="{00000000-0005-0000-0000-0000B2010000}"/>
    <cellStyle name="Normal 13" xfId="435" xr:uid="{00000000-0005-0000-0000-0000B3010000}"/>
    <cellStyle name="Normal 13 2" xfId="436" xr:uid="{00000000-0005-0000-0000-0000B4010000}"/>
    <cellStyle name="Normal 13 2 2" xfId="437" xr:uid="{00000000-0005-0000-0000-0000B5010000}"/>
    <cellStyle name="Normal 13 2 2 2" xfId="438" xr:uid="{00000000-0005-0000-0000-0000B6010000}"/>
    <cellStyle name="Normal 13 2 2 2 2" xfId="439" xr:uid="{00000000-0005-0000-0000-0000B7010000}"/>
    <cellStyle name="Normal 13 2 2 2 2 2" xfId="440" xr:uid="{00000000-0005-0000-0000-0000B8010000}"/>
    <cellStyle name="Normal 13 2 2 2 2 2 2" xfId="441" xr:uid="{00000000-0005-0000-0000-0000B9010000}"/>
    <cellStyle name="Normal 13 2 2 2 2 3" xfId="442" xr:uid="{00000000-0005-0000-0000-0000BA010000}"/>
    <cellStyle name="Normal 13 2 2 2 2 3 2" xfId="443" xr:uid="{00000000-0005-0000-0000-0000BB010000}"/>
    <cellStyle name="Normal 13 2 2 2 2 4" xfId="444" xr:uid="{00000000-0005-0000-0000-0000BC010000}"/>
    <cellStyle name="Normal 13 2 2 2 2 4 2" xfId="445" xr:uid="{00000000-0005-0000-0000-0000BD010000}"/>
    <cellStyle name="Normal 13 2 2 2 2 5" xfId="446" xr:uid="{00000000-0005-0000-0000-0000BE010000}"/>
    <cellStyle name="Normal 13 2 2 2 2 5 2" xfId="447" xr:uid="{00000000-0005-0000-0000-0000BF010000}"/>
    <cellStyle name="Normal 13 2 2 2 2 6" xfId="448" xr:uid="{00000000-0005-0000-0000-0000C0010000}"/>
    <cellStyle name="Normal 13 2 2 2 3" xfId="449" xr:uid="{00000000-0005-0000-0000-0000C1010000}"/>
    <cellStyle name="Normal 13 2 2 2 3 2" xfId="450" xr:uid="{00000000-0005-0000-0000-0000C2010000}"/>
    <cellStyle name="Normal 13 2 2 2 4" xfId="451" xr:uid="{00000000-0005-0000-0000-0000C3010000}"/>
    <cellStyle name="Normal 13 2 2 3" xfId="452" xr:uid="{00000000-0005-0000-0000-0000C4010000}"/>
    <cellStyle name="Normal 13 2 2 3 2" xfId="453" xr:uid="{00000000-0005-0000-0000-0000C5010000}"/>
    <cellStyle name="Normal 13 2 2 3 2 2" xfId="454" xr:uid="{00000000-0005-0000-0000-0000C6010000}"/>
    <cellStyle name="Normal 13 2 2 3 3" xfId="455" xr:uid="{00000000-0005-0000-0000-0000C7010000}"/>
    <cellStyle name="Normal 13 2 2 4" xfId="456" xr:uid="{00000000-0005-0000-0000-0000C8010000}"/>
    <cellStyle name="Normal 13 2 2 4 2" xfId="457" xr:uid="{00000000-0005-0000-0000-0000C9010000}"/>
    <cellStyle name="Normal 13 2 2 4 2 2" xfId="458" xr:uid="{00000000-0005-0000-0000-0000CA010000}"/>
    <cellStyle name="Normal 13 2 2 4 3" xfId="459" xr:uid="{00000000-0005-0000-0000-0000CB010000}"/>
    <cellStyle name="Normal 13 2 2 5" xfId="460" xr:uid="{00000000-0005-0000-0000-0000CC010000}"/>
    <cellStyle name="Normal 13 2 2 5 2" xfId="461" xr:uid="{00000000-0005-0000-0000-0000CD010000}"/>
    <cellStyle name="Normal 13 2 2 6" xfId="462" xr:uid="{00000000-0005-0000-0000-0000CE010000}"/>
    <cellStyle name="Normal 13 2 3" xfId="463" xr:uid="{00000000-0005-0000-0000-0000CF010000}"/>
    <cellStyle name="Normal 13 2 3 2" xfId="464" xr:uid="{00000000-0005-0000-0000-0000D0010000}"/>
    <cellStyle name="Normal 13 2 3 2 2" xfId="465" xr:uid="{00000000-0005-0000-0000-0000D1010000}"/>
    <cellStyle name="Normal 13 2 3 3" xfId="466" xr:uid="{00000000-0005-0000-0000-0000D2010000}"/>
    <cellStyle name="Normal 13 2 4" xfId="467" xr:uid="{00000000-0005-0000-0000-0000D3010000}"/>
    <cellStyle name="Normal 13 2 4 2" xfId="468" xr:uid="{00000000-0005-0000-0000-0000D4010000}"/>
    <cellStyle name="Normal 13 2 5" xfId="469" xr:uid="{00000000-0005-0000-0000-0000D5010000}"/>
    <cellStyle name="Normal 13 3" xfId="470" xr:uid="{00000000-0005-0000-0000-0000D6010000}"/>
    <cellStyle name="Normal 13 3 2" xfId="471" xr:uid="{00000000-0005-0000-0000-0000D7010000}"/>
    <cellStyle name="Normal 13 3 2 2" xfId="472" xr:uid="{00000000-0005-0000-0000-0000D8010000}"/>
    <cellStyle name="Normal 13 3 2 2 2" xfId="473" xr:uid="{00000000-0005-0000-0000-0000D9010000}"/>
    <cellStyle name="Normal 13 3 2 3" xfId="474" xr:uid="{00000000-0005-0000-0000-0000DA010000}"/>
    <cellStyle name="Normal 13 3 3" xfId="475" xr:uid="{00000000-0005-0000-0000-0000DB010000}"/>
    <cellStyle name="Normal 13 3 3 2" xfId="476" xr:uid="{00000000-0005-0000-0000-0000DC010000}"/>
    <cellStyle name="Normal 13 3 4" xfId="477" xr:uid="{00000000-0005-0000-0000-0000DD010000}"/>
    <cellStyle name="Normal 13 4" xfId="478" xr:uid="{00000000-0005-0000-0000-0000DE010000}"/>
    <cellStyle name="Normal 13 4 2" xfId="479" xr:uid="{00000000-0005-0000-0000-0000DF010000}"/>
    <cellStyle name="Normal 13 4 2 2" xfId="480" xr:uid="{00000000-0005-0000-0000-0000E0010000}"/>
    <cellStyle name="Normal 13 4 3" xfId="481" xr:uid="{00000000-0005-0000-0000-0000E1010000}"/>
    <cellStyle name="Normal 13 5" xfId="482" xr:uid="{00000000-0005-0000-0000-0000E2010000}"/>
    <cellStyle name="Normal 13 5 2" xfId="483" xr:uid="{00000000-0005-0000-0000-0000E3010000}"/>
    <cellStyle name="Normal 13 6" xfId="484" xr:uid="{00000000-0005-0000-0000-0000E4010000}"/>
    <cellStyle name="Normal 14" xfId="485" xr:uid="{00000000-0005-0000-0000-0000E5010000}"/>
    <cellStyle name="Normal 14 10" xfId="486" xr:uid="{00000000-0005-0000-0000-0000E6010000}"/>
    <cellStyle name="Normal 14 2" xfId="487" xr:uid="{00000000-0005-0000-0000-0000E7010000}"/>
    <cellStyle name="Normal 14 2 2" xfId="488" xr:uid="{00000000-0005-0000-0000-0000E8010000}"/>
    <cellStyle name="Normal 14 2 2 2" xfId="489" xr:uid="{00000000-0005-0000-0000-0000E9010000}"/>
    <cellStyle name="Normal 14 2 2 2 2" xfId="490" xr:uid="{00000000-0005-0000-0000-0000EA010000}"/>
    <cellStyle name="Normal 14 2 2 2 2 2" xfId="491" xr:uid="{00000000-0005-0000-0000-0000EB010000}"/>
    <cellStyle name="Normal 14 2 2 2 2 2 2" xfId="492" xr:uid="{00000000-0005-0000-0000-0000EC010000}"/>
    <cellStyle name="Normal 14 2 2 2 2 2 2 2" xfId="493" xr:uid="{00000000-0005-0000-0000-0000ED010000}"/>
    <cellStyle name="Normal 14 2 2 2 2 2 3" xfId="494" xr:uid="{00000000-0005-0000-0000-0000EE010000}"/>
    <cellStyle name="Normal 14 2 2 2 2 3" xfId="495" xr:uid="{00000000-0005-0000-0000-0000EF010000}"/>
    <cellStyle name="Normal 14 2 2 2 2 3 2" xfId="496" xr:uid="{00000000-0005-0000-0000-0000F0010000}"/>
    <cellStyle name="Normal 14 2 2 2 2 4" xfId="497" xr:uid="{00000000-0005-0000-0000-0000F1010000}"/>
    <cellStyle name="Normal 14 2 2 2 3" xfId="498" xr:uid="{00000000-0005-0000-0000-0000F2010000}"/>
    <cellStyle name="Normal 14 2 2 2 3 2" xfId="499" xr:uid="{00000000-0005-0000-0000-0000F3010000}"/>
    <cellStyle name="Normal 14 2 2 2 3 2 2" xfId="500" xr:uid="{00000000-0005-0000-0000-0000F4010000}"/>
    <cellStyle name="Normal 14 2 2 2 3 3" xfId="501" xr:uid="{00000000-0005-0000-0000-0000F5010000}"/>
    <cellStyle name="Normal 14 2 2 2 4" xfId="502" xr:uid="{00000000-0005-0000-0000-0000F6010000}"/>
    <cellStyle name="Normal 14 2 2 2 4 2" xfId="503" xr:uid="{00000000-0005-0000-0000-0000F7010000}"/>
    <cellStyle name="Normal 14 2 2 2 4 2 2" xfId="504" xr:uid="{00000000-0005-0000-0000-0000F8010000}"/>
    <cellStyle name="Normal 14 2 2 2 4 3" xfId="505" xr:uid="{00000000-0005-0000-0000-0000F9010000}"/>
    <cellStyle name="Normal 14 2 2 2 5" xfId="506" xr:uid="{00000000-0005-0000-0000-0000FA010000}"/>
    <cellStyle name="Normal 14 2 2 2 5 2" xfId="507" xr:uid="{00000000-0005-0000-0000-0000FB010000}"/>
    <cellStyle name="Normal 14 2 2 2 5 2 2" xfId="508" xr:uid="{00000000-0005-0000-0000-0000FC010000}"/>
    <cellStyle name="Normal 14 2 2 2 5 3" xfId="509" xr:uid="{00000000-0005-0000-0000-0000FD010000}"/>
    <cellStyle name="Normal 14 2 2 2 6" xfId="510" xr:uid="{00000000-0005-0000-0000-0000FE010000}"/>
    <cellStyle name="Normal 14 2 2 2 6 2" xfId="511" xr:uid="{00000000-0005-0000-0000-0000FF010000}"/>
    <cellStyle name="Normal 14 2 2 2 7" xfId="512" xr:uid="{00000000-0005-0000-0000-000000020000}"/>
    <cellStyle name="Normal 14 2 2 3" xfId="513" xr:uid="{00000000-0005-0000-0000-000001020000}"/>
    <cellStyle name="Normal 14 2 2 3 2" xfId="514" xr:uid="{00000000-0005-0000-0000-000002020000}"/>
    <cellStyle name="Normal 14 2 2 3 2 2" xfId="515" xr:uid="{00000000-0005-0000-0000-000003020000}"/>
    <cellStyle name="Normal 14 2 2 3 2 2 2" xfId="516" xr:uid="{00000000-0005-0000-0000-000004020000}"/>
    <cellStyle name="Normal 14 2 2 3 2 3" xfId="517" xr:uid="{00000000-0005-0000-0000-000005020000}"/>
    <cellStyle name="Normal 14 2 2 3 3" xfId="518" xr:uid="{00000000-0005-0000-0000-000006020000}"/>
    <cellStyle name="Normal 14 2 2 3 3 2" xfId="519" xr:uid="{00000000-0005-0000-0000-000007020000}"/>
    <cellStyle name="Normal 14 2 2 3 3 2 2" xfId="520" xr:uid="{00000000-0005-0000-0000-000008020000}"/>
    <cellStyle name="Normal 14 2 2 3 3 3" xfId="521" xr:uid="{00000000-0005-0000-0000-000009020000}"/>
    <cellStyle name="Normal 14 2 2 3 4" xfId="522" xr:uid="{00000000-0005-0000-0000-00000A020000}"/>
    <cellStyle name="Normal 14 2 2 3 4 2" xfId="523" xr:uid="{00000000-0005-0000-0000-00000B020000}"/>
    <cellStyle name="Normal 14 2 2 3 4 2 2" xfId="524" xr:uid="{00000000-0005-0000-0000-00000C020000}"/>
    <cellStyle name="Normal 14 2 2 3 4 3" xfId="525" xr:uid="{00000000-0005-0000-0000-00000D020000}"/>
    <cellStyle name="Normal 14 2 2 3 5" xfId="526" xr:uid="{00000000-0005-0000-0000-00000E020000}"/>
    <cellStyle name="Normal 14 2 2 3 5 2" xfId="527" xr:uid="{00000000-0005-0000-0000-00000F020000}"/>
    <cellStyle name="Normal 14 2 2 3 6" xfId="528" xr:uid="{00000000-0005-0000-0000-000010020000}"/>
    <cellStyle name="Normal 14 2 2 4" xfId="529" xr:uid="{00000000-0005-0000-0000-000011020000}"/>
    <cellStyle name="Normal 14 2 2 4 2" xfId="530" xr:uid="{00000000-0005-0000-0000-000012020000}"/>
    <cellStyle name="Normal 14 2 2 4 2 2" xfId="531" xr:uid="{00000000-0005-0000-0000-000013020000}"/>
    <cellStyle name="Normal 14 2 2 4 3" xfId="532" xr:uid="{00000000-0005-0000-0000-000014020000}"/>
    <cellStyle name="Normal 14 2 2 5" xfId="533" xr:uid="{00000000-0005-0000-0000-000015020000}"/>
    <cellStyle name="Normal 14 2 2 5 2" xfId="534" xr:uid="{00000000-0005-0000-0000-000016020000}"/>
    <cellStyle name="Normal 14 2 2 5 2 2" xfId="535" xr:uid="{00000000-0005-0000-0000-000017020000}"/>
    <cellStyle name="Normal 14 2 2 5 3" xfId="536" xr:uid="{00000000-0005-0000-0000-000018020000}"/>
    <cellStyle name="Normal 14 2 2 6" xfId="537" xr:uid="{00000000-0005-0000-0000-000019020000}"/>
    <cellStyle name="Normal 14 2 2 6 2" xfId="538" xr:uid="{00000000-0005-0000-0000-00001A020000}"/>
    <cellStyle name="Normal 14 2 2 6 2 2" xfId="539" xr:uid="{00000000-0005-0000-0000-00001B020000}"/>
    <cellStyle name="Normal 14 2 2 6 3" xfId="540" xr:uid="{00000000-0005-0000-0000-00001C020000}"/>
    <cellStyle name="Normal 14 2 2 7" xfId="541" xr:uid="{00000000-0005-0000-0000-00001D020000}"/>
    <cellStyle name="Normal 14 2 2 7 2" xfId="542" xr:uid="{00000000-0005-0000-0000-00001E020000}"/>
    <cellStyle name="Normal 14 2 2 8" xfId="543" xr:uid="{00000000-0005-0000-0000-00001F020000}"/>
    <cellStyle name="Normal 14 2 3" xfId="544" xr:uid="{00000000-0005-0000-0000-000020020000}"/>
    <cellStyle name="Normal 14 2 3 2" xfId="545" xr:uid="{00000000-0005-0000-0000-000021020000}"/>
    <cellStyle name="Normal 14 2 3 2 2" xfId="546" xr:uid="{00000000-0005-0000-0000-000022020000}"/>
    <cellStyle name="Normal 14 2 3 2 2 2" xfId="547" xr:uid="{00000000-0005-0000-0000-000023020000}"/>
    <cellStyle name="Normal 14 2 3 2 2 2 2" xfId="548" xr:uid="{00000000-0005-0000-0000-000024020000}"/>
    <cellStyle name="Normal 14 2 3 2 2 3" xfId="549" xr:uid="{00000000-0005-0000-0000-000025020000}"/>
    <cellStyle name="Normal 14 2 3 2 3" xfId="550" xr:uid="{00000000-0005-0000-0000-000026020000}"/>
    <cellStyle name="Normal 14 2 3 2 3 2" xfId="551" xr:uid="{00000000-0005-0000-0000-000027020000}"/>
    <cellStyle name="Normal 14 2 3 2 4" xfId="552" xr:uid="{00000000-0005-0000-0000-000028020000}"/>
    <cellStyle name="Normal 14 2 3 3" xfId="553" xr:uid="{00000000-0005-0000-0000-000029020000}"/>
    <cellStyle name="Normal 14 2 3 3 2" xfId="554" xr:uid="{00000000-0005-0000-0000-00002A020000}"/>
    <cellStyle name="Normal 14 2 3 3 2 2" xfId="555" xr:uid="{00000000-0005-0000-0000-00002B020000}"/>
    <cellStyle name="Normal 14 2 3 3 3" xfId="556" xr:uid="{00000000-0005-0000-0000-00002C020000}"/>
    <cellStyle name="Normal 14 2 3 4" xfId="557" xr:uid="{00000000-0005-0000-0000-00002D020000}"/>
    <cellStyle name="Normal 14 2 3 4 2" xfId="558" xr:uid="{00000000-0005-0000-0000-00002E020000}"/>
    <cellStyle name="Normal 14 2 3 4 2 2" xfId="559" xr:uid="{00000000-0005-0000-0000-00002F020000}"/>
    <cellStyle name="Normal 14 2 3 4 3" xfId="560" xr:uid="{00000000-0005-0000-0000-000030020000}"/>
    <cellStyle name="Normal 14 2 3 5" xfId="561" xr:uid="{00000000-0005-0000-0000-000031020000}"/>
    <cellStyle name="Normal 14 2 3 5 2" xfId="562" xr:uid="{00000000-0005-0000-0000-000032020000}"/>
    <cellStyle name="Normal 14 2 3 5 2 2" xfId="563" xr:uid="{00000000-0005-0000-0000-000033020000}"/>
    <cellStyle name="Normal 14 2 3 5 3" xfId="564" xr:uid="{00000000-0005-0000-0000-000034020000}"/>
    <cellStyle name="Normal 14 2 3 6" xfId="565" xr:uid="{00000000-0005-0000-0000-000035020000}"/>
    <cellStyle name="Normal 14 2 3 6 2" xfId="566" xr:uid="{00000000-0005-0000-0000-000036020000}"/>
    <cellStyle name="Normal 14 2 3 7" xfId="567" xr:uid="{00000000-0005-0000-0000-000037020000}"/>
    <cellStyle name="Normal 14 2 4" xfId="568" xr:uid="{00000000-0005-0000-0000-000038020000}"/>
    <cellStyle name="Normal 14 2 4 2" xfId="569" xr:uid="{00000000-0005-0000-0000-000039020000}"/>
    <cellStyle name="Normal 14 2 4 2 2" xfId="570" xr:uid="{00000000-0005-0000-0000-00003A020000}"/>
    <cellStyle name="Normal 14 2 4 2 2 2" xfId="571" xr:uid="{00000000-0005-0000-0000-00003B020000}"/>
    <cellStyle name="Normal 14 2 4 2 3" xfId="572" xr:uid="{00000000-0005-0000-0000-00003C020000}"/>
    <cellStyle name="Normal 14 2 4 3" xfId="573" xr:uid="{00000000-0005-0000-0000-00003D020000}"/>
    <cellStyle name="Normal 14 2 4 3 2" xfId="574" xr:uid="{00000000-0005-0000-0000-00003E020000}"/>
    <cellStyle name="Normal 14 2 4 3 2 2" xfId="575" xr:uid="{00000000-0005-0000-0000-00003F020000}"/>
    <cellStyle name="Normal 14 2 4 3 3" xfId="576" xr:uid="{00000000-0005-0000-0000-000040020000}"/>
    <cellStyle name="Normal 14 2 4 4" xfId="577" xr:uid="{00000000-0005-0000-0000-000041020000}"/>
    <cellStyle name="Normal 14 2 4 4 2" xfId="578" xr:uid="{00000000-0005-0000-0000-000042020000}"/>
    <cellStyle name="Normal 14 2 4 4 2 2" xfId="579" xr:uid="{00000000-0005-0000-0000-000043020000}"/>
    <cellStyle name="Normal 14 2 4 4 3" xfId="580" xr:uid="{00000000-0005-0000-0000-000044020000}"/>
    <cellStyle name="Normal 14 2 4 5" xfId="581" xr:uid="{00000000-0005-0000-0000-000045020000}"/>
    <cellStyle name="Normal 14 2 4 5 2" xfId="582" xr:uid="{00000000-0005-0000-0000-000046020000}"/>
    <cellStyle name="Normal 14 2 4 6" xfId="583" xr:uid="{00000000-0005-0000-0000-000047020000}"/>
    <cellStyle name="Normal 14 2 5" xfId="584" xr:uid="{00000000-0005-0000-0000-000048020000}"/>
    <cellStyle name="Normal 14 2 5 2" xfId="585" xr:uid="{00000000-0005-0000-0000-000049020000}"/>
    <cellStyle name="Normal 14 2 5 2 2" xfId="586" xr:uid="{00000000-0005-0000-0000-00004A020000}"/>
    <cellStyle name="Normal 14 2 5 3" xfId="587" xr:uid="{00000000-0005-0000-0000-00004B020000}"/>
    <cellStyle name="Normal 14 2 6" xfId="588" xr:uid="{00000000-0005-0000-0000-00004C020000}"/>
    <cellStyle name="Normal 14 2 6 2" xfId="589" xr:uid="{00000000-0005-0000-0000-00004D020000}"/>
    <cellStyle name="Normal 14 2 6 2 2" xfId="590" xr:uid="{00000000-0005-0000-0000-00004E020000}"/>
    <cellStyle name="Normal 14 2 6 3" xfId="591" xr:uid="{00000000-0005-0000-0000-00004F020000}"/>
    <cellStyle name="Normal 14 2 7" xfId="592" xr:uid="{00000000-0005-0000-0000-000050020000}"/>
    <cellStyle name="Normal 14 2 7 2" xfId="593" xr:uid="{00000000-0005-0000-0000-000051020000}"/>
    <cellStyle name="Normal 14 2 7 2 2" xfId="594" xr:uid="{00000000-0005-0000-0000-000052020000}"/>
    <cellStyle name="Normal 14 2 7 3" xfId="595" xr:uid="{00000000-0005-0000-0000-000053020000}"/>
    <cellStyle name="Normal 14 2 8" xfId="596" xr:uid="{00000000-0005-0000-0000-000054020000}"/>
    <cellStyle name="Normal 14 2 8 2" xfId="597" xr:uid="{00000000-0005-0000-0000-000055020000}"/>
    <cellStyle name="Normal 14 2 9" xfId="598" xr:uid="{00000000-0005-0000-0000-000056020000}"/>
    <cellStyle name="Normal 14 3" xfId="599" xr:uid="{00000000-0005-0000-0000-000057020000}"/>
    <cellStyle name="Normal 14 3 2" xfId="600" xr:uid="{00000000-0005-0000-0000-000058020000}"/>
    <cellStyle name="Normal 14 3 2 2" xfId="601" xr:uid="{00000000-0005-0000-0000-000059020000}"/>
    <cellStyle name="Normal 14 3 2 2 2" xfId="602" xr:uid="{00000000-0005-0000-0000-00005A020000}"/>
    <cellStyle name="Normal 14 3 2 2 2 2" xfId="603" xr:uid="{00000000-0005-0000-0000-00005B020000}"/>
    <cellStyle name="Normal 14 3 2 2 2 2 2" xfId="604" xr:uid="{00000000-0005-0000-0000-00005C020000}"/>
    <cellStyle name="Normal 14 3 2 2 2 3" xfId="605" xr:uid="{00000000-0005-0000-0000-00005D020000}"/>
    <cellStyle name="Normal 14 3 2 2 3" xfId="606" xr:uid="{00000000-0005-0000-0000-00005E020000}"/>
    <cellStyle name="Normal 14 3 2 2 3 2" xfId="607" xr:uid="{00000000-0005-0000-0000-00005F020000}"/>
    <cellStyle name="Normal 14 3 2 2 4" xfId="608" xr:uid="{00000000-0005-0000-0000-000060020000}"/>
    <cellStyle name="Normal 14 3 2 3" xfId="609" xr:uid="{00000000-0005-0000-0000-000061020000}"/>
    <cellStyle name="Normal 14 3 2 3 2" xfId="610" xr:uid="{00000000-0005-0000-0000-000062020000}"/>
    <cellStyle name="Normal 14 3 2 3 2 2" xfId="611" xr:uid="{00000000-0005-0000-0000-000063020000}"/>
    <cellStyle name="Normal 14 3 2 3 3" xfId="612" xr:uid="{00000000-0005-0000-0000-000064020000}"/>
    <cellStyle name="Normal 14 3 2 4" xfId="613" xr:uid="{00000000-0005-0000-0000-000065020000}"/>
    <cellStyle name="Normal 14 3 2 4 2" xfId="614" xr:uid="{00000000-0005-0000-0000-000066020000}"/>
    <cellStyle name="Normal 14 3 2 4 2 2" xfId="615" xr:uid="{00000000-0005-0000-0000-000067020000}"/>
    <cellStyle name="Normal 14 3 2 4 3" xfId="616" xr:uid="{00000000-0005-0000-0000-000068020000}"/>
    <cellStyle name="Normal 14 3 2 5" xfId="617" xr:uid="{00000000-0005-0000-0000-000069020000}"/>
    <cellStyle name="Normal 14 3 2 5 2" xfId="618" xr:uid="{00000000-0005-0000-0000-00006A020000}"/>
    <cellStyle name="Normal 14 3 2 5 2 2" xfId="619" xr:uid="{00000000-0005-0000-0000-00006B020000}"/>
    <cellStyle name="Normal 14 3 2 5 3" xfId="620" xr:uid="{00000000-0005-0000-0000-00006C020000}"/>
    <cellStyle name="Normal 14 3 2 6" xfId="621" xr:uid="{00000000-0005-0000-0000-00006D020000}"/>
    <cellStyle name="Normal 14 3 2 6 2" xfId="622" xr:uid="{00000000-0005-0000-0000-00006E020000}"/>
    <cellStyle name="Normal 14 3 2 7" xfId="623" xr:uid="{00000000-0005-0000-0000-00006F020000}"/>
    <cellStyle name="Normal 14 3 3" xfId="624" xr:uid="{00000000-0005-0000-0000-000070020000}"/>
    <cellStyle name="Normal 14 3 3 2" xfId="625" xr:uid="{00000000-0005-0000-0000-000071020000}"/>
    <cellStyle name="Normal 14 3 3 2 2" xfId="626" xr:uid="{00000000-0005-0000-0000-000072020000}"/>
    <cellStyle name="Normal 14 3 3 2 2 2" xfId="627" xr:uid="{00000000-0005-0000-0000-000073020000}"/>
    <cellStyle name="Normal 14 3 3 2 3" xfId="628" xr:uid="{00000000-0005-0000-0000-000074020000}"/>
    <cellStyle name="Normal 14 3 3 3" xfId="629" xr:uid="{00000000-0005-0000-0000-000075020000}"/>
    <cellStyle name="Normal 14 3 3 3 2" xfId="630" xr:uid="{00000000-0005-0000-0000-000076020000}"/>
    <cellStyle name="Normal 14 3 3 3 2 2" xfId="631" xr:uid="{00000000-0005-0000-0000-000077020000}"/>
    <cellStyle name="Normal 14 3 3 3 3" xfId="632" xr:uid="{00000000-0005-0000-0000-000078020000}"/>
    <cellStyle name="Normal 14 3 3 4" xfId="633" xr:uid="{00000000-0005-0000-0000-000079020000}"/>
    <cellStyle name="Normal 14 3 3 4 2" xfId="634" xr:uid="{00000000-0005-0000-0000-00007A020000}"/>
    <cellStyle name="Normal 14 3 3 4 2 2" xfId="635" xr:uid="{00000000-0005-0000-0000-00007B020000}"/>
    <cellStyle name="Normal 14 3 3 4 3" xfId="636" xr:uid="{00000000-0005-0000-0000-00007C020000}"/>
    <cellStyle name="Normal 14 3 3 5" xfId="637" xr:uid="{00000000-0005-0000-0000-00007D020000}"/>
    <cellStyle name="Normal 14 3 3 5 2" xfId="638" xr:uid="{00000000-0005-0000-0000-00007E020000}"/>
    <cellStyle name="Normal 14 3 3 6" xfId="639" xr:uid="{00000000-0005-0000-0000-00007F020000}"/>
    <cellStyle name="Normal 14 3 4" xfId="640" xr:uid="{00000000-0005-0000-0000-000080020000}"/>
    <cellStyle name="Normal 14 3 4 2" xfId="641" xr:uid="{00000000-0005-0000-0000-000081020000}"/>
    <cellStyle name="Normal 14 3 4 2 2" xfId="642" xr:uid="{00000000-0005-0000-0000-000082020000}"/>
    <cellStyle name="Normal 14 3 4 3" xfId="643" xr:uid="{00000000-0005-0000-0000-000083020000}"/>
    <cellStyle name="Normal 14 3 5" xfId="644" xr:uid="{00000000-0005-0000-0000-000084020000}"/>
    <cellStyle name="Normal 14 3 5 2" xfId="645" xr:uid="{00000000-0005-0000-0000-000085020000}"/>
    <cellStyle name="Normal 14 3 5 2 2" xfId="646" xr:uid="{00000000-0005-0000-0000-000086020000}"/>
    <cellStyle name="Normal 14 3 5 3" xfId="647" xr:uid="{00000000-0005-0000-0000-000087020000}"/>
    <cellStyle name="Normal 14 3 6" xfId="648" xr:uid="{00000000-0005-0000-0000-000088020000}"/>
    <cellStyle name="Normal 14 3 6 2" xfId="649" xr:uid="{00000000-0005-0000-0000-000089020000}"/>
    <cellStyle name="Normal 14 3 6 2 2" xfId="650" xr:uid="{00000000-0005-0000-0000-00008A020000}"/>
    <cellStyle name="Normal 14 3 6 3" xfId="651" xr:uid="{00000000-0005-0000-0000-00008B020000}"/>
    <cellStyle name="Normal 14 3 7" xfId="652" xr:uid="{00000000-0005-0000-0000-00008C020000}"/>
    <cellStyle name="Normal 14 3 7 2" xfId="653" xr:uid="{00000000-0005-0000-0000-00008D020000}"/>
    <cellStyle name="Normal 14 3 8" xfId="654" xr:uid="{00000000-0005-0000-0000-00008E020000}"/>
    <cellStyle name="Normal 14 4" xfId="655" xr:uid="{00000000-0005-0000-0000-00008F020000}"/>
    <cellStyle name="Normal 14 4 2" xfId="656" xr:uid="{00000000-0005-0000-0000-000090020000}"/>
    <cellStyle name="Normal 14 4 2 2" xfId="657" xr:uid="{00000000-0005-0000-0000-000091020000}"/>
    <cellStyle name="Normal 14 4 2 2 2" xfId="658" xr:uid="{00000000-0005-0000-0000-000092020000}"/>
    <cellStyle name="Normal 14 4 2 2 2 2" xfId="659" xr:uid="{00000000-0005-0000-0000-000093020000}"/>
    <cellStyle name="Normal 14 4 2 2 3" xfId="660" xr:uid="{00000000-0005-0000-0000-000094020000}"/>
    <cellStyle name="Normal 14 4 2 3" xfId="661" xr:uid="{00000000-0005-0000-0000-000095020000}"/>
    <cellStyle name="Normal 14 4 2 3 2" xfId="662" xr:uid="{00000000-0005-0000-0000-000096020000}"/>
    <cellStyle name="Normal 14 4 2 4" xfId="663" xr:uid="{00000000-0005-0000-0000-000097020000}"/>
    <cellStyle name="Normal 14 4 3" xfId="664" xr:uid="{00000000-0005-0000-0000-000098020000}"/>
    <cellStyle name="Normal 14 4 3 2" xfId="665" xr:uid="{00000000-0005-0000-0000-000099020000}"/>
    <cellStyle name="Normal 14 4 3 2 2" xfId="666" xr:uid="{00000000-0005-0000-0000-00009A020000}"/>
    <cellStyle name="Normal 14 4 3 3" xfId="667" xr:uid="{00000000-0005-0000-0000-00009B020000}"/>
    <cellStyle name="Normal 14 4 4" xfId="668" xr:uid="{00000000-0005-0000-0000-00009C020000}"/>
    <cellStyle name="Normal 14 4 4 2" xfId="669" xr:uid="{00000000-0005-0000-0000-00009D020000}"/>
    <cellStyle name="Normal 14 4 4 2 2" xfId="670" xr:uid="{00000000-0005-0000-0000-00009E020000}"/>
    <cellStyle name="Normal 14 4 4 3" xfId="671" xr:uid="{00000000-0005-0000-0000-00009F020000}"/>
    <cellStyle name="Normal 14 4 5" xfId="672" xr:uid="{00000000-0005-0000-0000-0000A0020000}"/>
    <cellStyle name="Normal 14 4 5 2" xfId="673" xr:uid="{00000000-0005-0000-0000-0000A1020000}"/>
    <cellStyle name="Normal 14 4 5 2 2" xfId="674" xr:uid="{00000000-0005-0000-0000-0000A2020000}"/>
    <cellStyle name="Normal 14 4 5 3" xfId="675" xr:uid="{00000000-0005-0000-0000-0000A3020000}"/>
    <cellStyle name="Normal 14 4 6" xfId="676" xr:uid="{00000000-0005-0000-0000-0000A4020000}"/>
    <cellStyle name="Normal 14 4 6 2" xfId="677" xr:uid="{00000000-0005-0000-0000-0000A5020000}"/>
    <cellStyle name="Normal 14 4 7" xfId="678" xr:uid="{00000000-0005-0000-0000-0000A6020000}"/>
    <cellStyle name="Normal 14 5" xfId="679" xr:uid="{00000000-0005-0000-0000-0000A7020000}"/>
    <cellStyle name="Normal 14 5 2" xfId="680" xr:uid="{00000000-0005-0000-0000-0000A8020000}"/>
    <cellStyle name="Normal 14 5 2 2" xfId="681" xr:uid="{00000000-0005-0000-0000-0000A9020000}"/>
    <cellStyle name="Normal 14 5 2 2 2" xfId="682" xr:uid="{00000000-0005-0000-0000-0000AA020000}"/>
    <cellStyle name="Normal 14 5 2 3" xfId="683" xr:uid="{00000000-0005-0000-0000-0000AB020000}"/>
    <cellStyle name="Normal 14 5 3" xfId="684" xr:uid="{00000000-0005-0000-0000-0000AC020000}"/>
    <cellStyle name="Normal 14 5 3 2" xfId="685" xr:uid="{00000000-0005-0000-0000-0000AD020000}"/>
    <cellStyle name="Normal 14 5 3 2 2" xfId="686" xr:uid="{00000000-0005-0000-0000-0000AE020000}"/>
    <cellStyle name="Normal 14 5 3 3" xfId="687" xr:uid="{00000000-0005-0000-0000-0000AF020000}"/>
    <cellStyle name="Normal 14 5 4" xfId="688" xr:uid="{00000000-0005-0000-0000-0000B0020000}"/>
    <cellStyle name="Normal 14 5 4 2" xfId="689" xr:uid="{00000000-0005-0000-0000-0000B1020000}"/>
    <cellStyle name="Normal 14 5 4 2 2" xfId="690" xr:uid="{00000000-0005-0000-0000-0000B2020000}"/>
    <cellStyle name="Normal 14 5 4 3" xfId="691" xr:uid="{00000000-0005-0000-0000-0000B3020000}"/>
    <cellStyle name="Normal 14 5 5" xfId="692" xr:uid="{00000000-0005-0000-0000-0000B4020000}"/>
    <cellStyle name="Normal 14 5 5 2" xfId="693" xr:uid="{00000000-0005-0000-0000-0000B5020000}"/>
    <cellStyle name="Normal 14 5 6" xfId="694" xr:uid="{00000000-0005-0000-0000-0000B6020000}"/>
    <cellStyle name="Normal 14 6" xfId="695" xr:uid="{00000000-0005-0000-0000-0000B7020000}"/>
    <cellStyle name="Normal 14 6 2" xfId="696" xr:uid="{00000000-0005-0000-0000-0000B8020000}"/>
    <cellStyle name="Normal 14 6 2 2" xfId="697" xr:uid="{00000000-0005-0000-0000-0000B9020000}"/>
    <cellStyle name="Normal 14 6 3" xfId="698" xr:uid="{00000000-0005-0000-0000-0000BA020000}"/>
    <cellStyle name="Normal 14 7" xfId="699" xr:uid="{00000000-0005-0000-0000-0000BB020000}"/>
    <cellStyle name="Normal 14 7 2" xfId="700" xr:uid="{00000000-0005-0000-0000-0000BC020000}"/>
    <cellStyle name="Normal 14 7 2 2" xfId="701" xr:uid="{00000000-0005-0000-0000-0000BD020000}"/>
    <cellStyle name="Normal 14 7 3" xfId="702" xr:uid="{00000000-0005-0000-0000-0000BE020000}"/>
    <cellStyle name="Normal 14 8" xfId="703" xr:uid="{00000000-0005-0000-0000-0000BF020000}"/>
    <cellStyle name="Normal 14 8 2" xfId="704" xr:uid="{00000000-0005-0000-0000-0000C0020000}"/>
    <cellStyle name="Normal 14 8 2 2" xfId="705" xr:uid="{00000000-0005-0000-0000-0000C1020000}"/>
    <cellStyle name="Normal 14 8 3" xfId="706" xr:uid="{00000000-0005-0000-0000-0000C2020000}"/>
    <cellStyle name="Normal 14 9" xfId="707" xr:uid="{00000000-0005-0000-0000-0000C3020000}"/>
    <cellStyle name="Normal 14 9 2" xfId="708" xr:uid="{00000000-0005-0000-0000-0000C4020000}"/>
    <cellStyle name="Normal 15" xfId="709" xr:uid="{00000000-0005-0000-0000-0000C5020000}"/>
    <cellStyle name="Normal 15 2" xfId="710" xr:uid="{00000000-0005-0000-0000-0000C6020000}"/>
    <cellStyle name="Normal 16" xfId="711" xr:uid="{00000000-0005-0000-0000-0000C7020000}"/>
    <cellStyle name="Normal 16 10" xfId="712" xr:uid="{00000000-0005-0000-0000-0000C8020000}"/>
    <cellStyle name="Normal 16 2" xfId="713" xr:uid="{00000000-0005-0000-0000-0000C9020000}"/>
    <cellStyle name="Normal 16 2 2" xfId="714" xr:uid="{00000000-0005-0000-0000-0000CA020000}"/>
    <cellStyle name="Normal 16 2 2 2" xfId="715" xr:uid="{00000000-0005-0000-0000-0000CB020000}"/>
    <cellStyle name="Normal 16 2 2 2 2" xfId="716" xr:uid="{00000000-0005-0000-0000-0000CC020000}"/>
    <cellStyle name="Normal 16 2 2 2 2 2" xfId="717" xr:uid="{00000000-0005-0000-0000-0000CD020000}"/>
    <cellStyle name="Normal 16 2 2 2 2 2 2" xfId="718" xr:uid="{00000000-0005-0000-0000-0000CE020000}"/>
    <cellStyle name="Normal 16 2 2 2 2 3" xfId="719" xr:uid="{00000000-0005-0000-0000-0000CF020000}"/>
    <cellStyle name="Normal 16 2 2 2 3" xfId="720" xr:uid="{00000000-0005-0000-0000-0000D0020000}"/>
    <cellStyle name="Normal 16 2 2 2 3 2" xfId="721" xr:uid="{00000000-0005-0000-0000-0000D1020000}"/>
    <cellStyle name="Normal 16 2 2 2 4" xfId="722" xr:uid="{00000000-0005-0000-0000-0000D2020000}"/>
    <cellStyle name="Normal 16 2 2 3" xfId="723" xr:uid="{00000000-0005-0000-0000-0000D3020000}"/>
    <cellStyle name="Normal 16 2 2 3 2" xfId="724" xr:uid="{00000000-0005-0000-0000-0000D4020000}"/>
    <cellStyle name="Normal 16 2 2 3 2 2" xfId="725" xr:uid="{00000000-0005-0000-0000-0000D5020000}"/>
    <cellStyle name="Normal 16 2 2 3 3" xfId="726" xr:uid="{00000000-0005-0000-0000-0000D6020000}"/>
    <cellStyle name="Normal 16 2 2 4" xfId="727" xr:uid="{00000000-0005-0000-0000-0000D7020000}"/>
    <cellStyle name="Normal 16 2 2 4 2" xfId="728" xr:uid="{00000000-0005-0000-0000-0000D8020000}"/>
    <cellStyle name="Normal 16 2 2 4 2 2" xfId="729" xr:uid="{00000000-0005-0000-0000-0000D9020000}"/>
    <cellStyle name="Normal 16 2 2 4 3" xfId="730" xr:uid="{00000000-0005-0000-0000-0000DA020000}"/>
    <cellStyle name="Normal 16 2 2 5" xfId="731" xr:uid="{00000000-0005-0000-0000-0000DB020000}"/>
    <cellStyle name="Normal 16 2 2 5 2" xfId="732" xr:uid="{00000000-0005-0000-0000-0000DC020000}"/>
    <cellStyle name="Normal 16 2 2 5 2 2" xfId="733" xr:uid="{00000000-0005-0000-0000-0000DD020000}"/>
    <cellStyle name="Normal 16 2 2 5 3" xfId="734" xr:uid="{00000000-0005-0000-0000-0000DE020000}"/>
    <cellStyle name="Normal 16 2 2 6" xfId="735" xr:uid="{00000000-0005-0000-0000-0000DF020000}"/>
    <cellStyle name="Normal 16 2 2 6 2" xfId="736" xr:uid="{00000000-0005-0000-0000-0000E0020000}"/>
    <cellStyle name="Normal 16 2 2 7" xfId="737" xr:uid="{00000000-0005-0000-0000-0000E1020000}"/>
    <cellStyle name="Normal 16 2 3" xfId="738" xr:uid="{00000000-0005-0000-0000-0000E2020000}"/>
    <cellStyle name="Normal 16 2 3 2" xfId="739" xr:uid="{00000000-0005-0000-0000-0000E3020000}"/>
    <cellStyle name="Normal 16 2 3 2 2" xfId="740" xr:uid="{00000000-0005-0000-0000-0000E4020000}"/>
    <cellStyle name="Normal 16 2 3 2 2 2" xfId="741" xr:uid="{00000000-0005-0000-0000-0000E5020000}"/>
    <cellStyle name="Normal 16 2 3 2 3" xfId="742" xr:uid="{00000000-0005-0000-0000-0000E6020000}"/>
    <cellStyle name="Normal 16 2 3 3" xfId="743" xr:uid="{00000000-0005-0000-0000-0000E7020000}"/>
    <cellStyle name="Normal 16 2 3 3 2" xfId="744" xr:uid="{00000000-0005-0000-0000-0000E8020000}"/>
    <cellStyle name="Normal 16 2 3 3 2 2" xfId="745" xr:uid="{00000000-0005-0000-0000-0000E9020000}"/>
    <cellStyle name="Normal 16 2 3 3 3" xfId="746" xr:uid="{00000000-0005-0000-0000-0000EA020000}"/>
    <cellStyle name="Normal 16 2 3 4" xfId="747" xr:uid="{00000000-0005-0000-0000-0000EB020000}"/>
    <cellStyle name="Normal 16 2 3 4 2" xfId="748" xr:uid="{00000000-0005-0000-0000-0000EC020000}"/>
    <cellStyle name="Normal 16 2 3 4 2 2" xfId="749" xr:uid="{00000000-0005-0000-0000-0000ED020000}"/>
    <cellStyle name="Normal 16 2 3 4 3" xfId="750" xr:uid="{00000000-0005-0000-0000-0000EE020000}"/>
    <cellStyle name="Normal 16 2 3 5" xfId="751" xr:uid="{00000000-0005-0000-0000-0000EF020000}"/>
    <cellStyle name="Normal 16 2 3 5 2" xfId="752" xr:uid="{00000000-0005-0000-0000-0000F0020000}"/>
    <cellStyle name="Normal 16 2 3 6" xfId="753" xr:uid="{00000000-0005-0000-0000-0000F1020000}"/>
    <cellStyle name="Normal 16 2 4" xfId="754" xr:uid="{00000000-0005-0000-0000-0000F2020000}"/>
    <cellStyle name="Normal 16 2 4 2" xfId="755" xr:uid="{00000000-0005-0000-0000-0000F3020000}"/>
    <cellStyle name="Normal 16 2 4 2 2" xfId="756" xr:uid="{00000000-0005-0000-0000-0000F4020000}"/>
    <cellStyle name="Normal 16 2 4 3" xfId="757" xr:uid="{00000000-0005-0000-0000-0000F5020000}"/>
    <cellStyle name="Normal 16 2 5" xfId="758" xr:uid="{00000000-0005-0000-0000-0000F6020000}"/>
    <cellStyle name="Normal 16 2 5 2" xfId="759" xr:uid="{00000000-0005-0000-0000-0000F7020000}"/>
    <cellStyle name="Normal 16 2 5 2 2" xfId="760" xr:uid="{00000000-0005-0000-0000-0000F8020000}"/>
    <cellStyle name="Normal 16 2 5 3" xfId="761" xr:uid="{00000000-0005-0000-0000-0000F9020000}"/>
    <cellStyle name="Normal 16 2 6" xfId="762" xr:uid="{00000000-0005-0000-0000-0000FA020000}"/>
    <cellStyle name="Normal 16 2 6 2" xfId="763" xr:uid="{00000000-0005-0000-0000-0000FB020000}"/>
    <cellStyle name="Normal 16 2 6 2 2" xfId="764" xr:uid="{00000000-0005-0000-0000-0000FC020000}"/>
    <cellStyle name="Normal 16 2 6 3" xfId="765" xr:uid="{00000000-0005-0000-0000-0000FD020000}"/>
    <cellStyle name="Normal 16 2 7" xfId="766" xr:uid="{00000000-0005-0000-0000-0000FE020000}"/>
    <cellStyle name="Normal 16 2 7 2" xfId="767" xr:uid="{00000000-0005-0000-0000-0000FF020000}"/>
    <cellStyle name="Normal 16 2 8" xfId="768" xr:uid="{00000000-0005-0000-0000-000000030000}"/>
    <cellStyle name="Normal 16 3" xfId="769" xr:uid="{00000000-0005-0000-0000-000001030000}"/>
    <cellStyle name="Normal 16 3 2" xfId="770" xr:uid="{00000000-0005-0000-0000-000002030000}"/>
    <cellStyle name="Normal 16 3 2 2" xfId="771" xr:uid="{00000000-0005-0000-0000-000003030000}"/>
    <cellStyle name="Normal 16 3 2 2 2" xfId="772" xr:uid="{00000000-0005-0000-0000-000004030000}"/>
    <cellStyle name="Normal 16 3 2 2 2 2" xfId="773" xr:uid="{00000000-0005-0000-0000-000005030000}"/>
    <cellStyle name="Normal 16 3 2 2 2 2 2" xfId="774" xr:uid="{00000000-0005-0000-0000-000006030000}"/>
    <cellStyle name="Normal 16 3 2 2 2 2 2 2" xfId="775" xr:uid="{00000000-0005-0000-0000-000007030000}"/>
    <cellStyle name="Normal 16 3 2 2 2 2 2 2 2" xfId="776" xr:uid="{00000000-0005-0000-0000-000008030000}"/>
    <cellStyle name="Normal 16 3 2 2 2 2 2 3" xfId="777" xr:uid="{00000000-0005-0000-0000-000009030000}"/>
    <cellStyle name="Normal 16 3 2 2 2 2 3" xfId="778" xr:uid="{00000000-0005-0000-0000-00000A030000}"/>
    <cellStyle name="Normal 16 3 2 2 2 3" xfId="779" xr:uid="{00000000-0005-0000-0000-00000B030000}"/>
    <cellStyle name="Normal 16 3 2 2 3" xfId="780" xr:uid="{00000000-0005-0000-0000-00000C030000}"/>
    <cellStyle name="Normal 16 3 2 2 3 2" xfId="781" xr:uid="{00000000-0005-0000-0000-00000D030000}"/>
    <cellStyle name="Normal 16 3 2 2 4" xfId="782" xr:uid="{00000000-0005-0000-0000-00000E030000}"/>
    <cellStyle name="Normal 16 3 2 3" xfId="783" xr:uid="{00000000-0005-0000-0000-00000F030000}"/>
    <cellStyle name="Normal 16 3 2 3 2" xfId="784" xr:uid="{00000000-0005-0000-0000-000010030000}"/>
    <cellStyle name="Normal 16 3 2 3 2 2" xfId="785" xr:uid="{00000000-0005-0000-0000-000011030000}"/>
    <cellStyle name="Normal 16 3 2 3 3" xfId="786" xr:uid="{00000000-0005-0000-0000-000012030000}"/>
    <cellStyle name="Normal 16 3 2 4" xfId="787" xr:uid="{00000000-0005-0000-0000-000013030000}"/>
    <cellStyle name="Normal 16 3 2 4 2" xfId="788" xr:uid="{00000000-0005-0000-0000-000014030000}"/>
    <cellStyle name="Normal 16 3 2 5" xfId="789" xr:uid="{00000000-0005-0000-0000-000015030000}"/>
    <cellStyle name="Normal 16 3 3" xfId="790" xr:uid="{00000000-0005-0000-0000-000016030000}"/>
    <cellStyle name="Normal 16 3 3 2" xfId="791" xr:uid="{00000000-0005-0000-0000-000017030000}"/>
    <cellStyle name="Normal 16 3 3 2 2" xfId="792" xr:uid="{00000000-0005-0000-0000-000018030000}"/>
    <cellStyle name="Normal 16 3 3 2 2 2" xfId="793" xr:uid="{00000000-0005-0000-0000-000019030000}"/>
    <cellStyle name="Normal 16 3 3 2 3" xfId="794" xr:uid="{00000000-0005-0000-0000-00001A030000}"/>
    <cellStyle name="Normal 16 3 3 3" xfId="795" xr:uid="{00000000-0005-0000-0000-00001B030000}"/>
    <cellStyle name="Normal 16 3 3 3 2" xfId="796" xr:uid="{00000000-0005-0000-0000-00001C030000}"/>
    <cellStyle name="Normal 16 3 3 4" xfId="797" xr:uid="{00000000-0005-0000-0000-00001D030000}"/>
    <cellStyle name="Normal 16 3 4" xfId="798" xr:uid="{00000000-0005-0000-0000-00001E030000}"/>
    <cellStyle name="Normal 16 3 4 2" xfId="799" xr:uid="{00000000-0005-0000-0000-00001F030000}"/>
    <cellStyle name="Normal 16 3 4 2 2" xfId="800" xr:uid="{00000000-0005-0000-0000-000020030000}"/>
    <cellStyle name="Normal 16 3 4 2 2 2" xfId="801" xr:uid="{00000000-0005-0000-0000-000021030000}"/>
    <cellStyle name="Normal 16 3 4 2 3" xfId="802" xr:uid="{00000000-0005-0000-0000-000022030000}"/>
    <cellStyle name="Normal 16 3 4 2 3 2" xfId="803" xr:uid="{00000000-0005-0000-0000-000023030000}"/>
    <cellStyle name="Normal 16 3 4 2 4" xfId="804" xr:uid="{00000000-0005-0000-0000-000024030000}"/>
    <cellStyle name="Normal 16 3 4 2 4 2" xfId="805" xr:uid="{00000000-0005-0000-0000-000025030000}"/>
    <cellStyle name="Normal 16 3 4 2 5" xfId="806" xr:uid="{00000000-0005-0000-0000-000026030000}"/>
    <cellStyle name="Normal 16 3 4 3" xfId="807" xr:uid="{00000000-0005-0000-0000-000027030000}"/>
    <cellStyle name="Normal 16 3 4 3 2" xfId="808" xr:uid="{00000000-0005-0000-0000-000028030000}"/>
    <cellStyle name="Normal 16 3 4 4" xfId="809" xr:uid="{00000000-0005-0000-0000-000029030000}"/>
    <cellStyle name="Normal 16 3 5" xfId="810" xr:uid="{00000000-0005-0000-0000-00002A030000}"/>
    <cellStyle name="Normal 16 3 5 2" xfId="811" xr:uid="{00000000-0005-0000-0000-00002B030000}"/>
    <cellStyle name="Normal 16 3 5 2 2" xfId="812" xr:uid="{00000000-0005-0000-0000-00002C030000}"/>
    <cellStyle name="Normal 16 3 5 3" xfId="813" xr:uid="{00000000-0005-0000-0000-00002D030000}"/>
    <cellStyle name="Normal 16 3 6" xfId="814" xr:uid="{00000000-0005-0000-0000-00002E030000}"/>
    <cellStyle name="Normal 16 3 6 2" xfId="815" xr:uid="{00000000-0005-0000-0000-00002F030000}"/>
    <cellStyle name="Normal 16 3 6 2 2" xfId="816" xr:uid="{00000000-0005-0000-0000-000030030000}"/>
    <cellStyle name="Normal 16 3 6 2 2 2" xfId="817" xr:uid="{00000000-0005-0000-0000-000031030000}"/>
    <cellStyle name="Normal 16 3 6 2 2 2 2" xfId="818" xr:uid="{00000000-0005-0000-0000-000032030000}"/>
    <cellStyle name="Normal 16 3 6 2 2 3" xfId="819" xr:uid="{00000000-0005-0000-0000-000033030000}"/>
    <cellStyle name="Normal 16 3 6 2 2 3 2" xfId="820" xr:uid="{00000000-0005-0000-0000-000034030000}"/>
    <cellStyle name="Normal 16 3 6 2 2 4" xfId="821" xr:uid="{00000000-0005-0000-0000-000035030000}"/>
    <cellStyle name="Normal 16 3 6 2 3" xfId="822" xr:uid="{00000000-0005-0000-0000-000036030000}"/>
    <cellStyle name="Normal 16 3 6 3" xfId="823" xr:uid="{00000000-0005-0000-0000-000037030000}"/>
    <cellStyle name="Normal 16 3 6 3 2" xfId="824" xr:uid="{00000000-0005-0000-0000-000038030000}"/>
    <cellStyle name="Normal 16 3 6 4" xfId="825" xr:uid="{00000000-0005-0000-0000-000039030000}"/>
    <cellStyle name="Normal 16 3 7" xfId="826" xr:uid="{00000000-0005-0000-0000-00003A030000}"/>
    <cellStyle name="Normal 16 3 7 2" xfId="827" xr:uid="{00000000-0005-0000-0000-00003B030000}"/>
    <cellStyle name="Normal 16 3 8" xfId="828" xr:uid="{00000000-0005-0000-0000-00003C030000}"/>
    <cellStyle name="Normal 16 4" xfId="829" xr:uid="{00000000-0005-0000-0000-00003D030000}"/>
    <cellStyle name="Normal 16 4 2" xfId="830" xr:uid="{00000000-0005-0000-0000-00003E030000}"/>
    <cellStyle name="Normal 16 4 2 2" xfId="831" xr:uid="{00000000-0005-0000-0000-00003F030000}"/>
    <cellStyle name="Normal 16 4 2 2 2" xfId="832" xr:uid="{00000000-0005-0000-0000-000040030000}"/>
    <cellStyle name="Normal 16 4 2 2 2 2" xfId="833" xr:uid="{00000000-0005-0000-0000-000041030000}"/>
    <cellStyle name="Normal 16 4 2 2 3" xfId="834" xr:uid="{00000000-0005-0000-0000-000042030000}"/>
    <cellStyle name="Normal 16 4 2 3" xfId="835" xr:uid="{00000000-0005-0000-0000-000043030000}"/>
    <cellStyle name="Normal 16 4 2 3 2" xfId="836" xr:uid="{00000000-0005-0000-0000-000044030000}"/>
    <cellStyle name="Normal 16 4 2 4" xfId="837" xr:uid="{00000000-0005-0000-0000-000045030000}"/>
    <cellStyle name="Normal 16 4 3" xfId="838" xr:uid="{00000000-0005-0000-0000-000046030000}"/>
    <cellStyle name="Normal 16 4 3 2" xfId="839" xr:uid="{00000000-0005-0000-0000-000047030000}"/>
    <cellStyle name="Normal 16 4 3 2 2" xfId="840" xr:uid="{00000000-0005-0000-0000-000048030000}"/>
    <cellStyle name="Normal 16 4 3 3" xfId="841" xr:uid="{00000000-0005-0000-0000-000049030000}"/>
    <cellStyle name="Normal 16 4 4" xfId="842" xr:uid="{00000000-0005-0000-0000-00004A030000}"/>
    <cellStyle name="Normal 16 4 4 2" xfId="843" xr:uid="{00000000-0005-0000-0000-00004B030000}"/>
    <cellStyle name="Normal 16 4 4 2 2" xfId="844" xr:uid="{00000000-0005-0000-0000-00004C030000}"/>
    <cellStyle name="Normal 16 4 4 3" xfId="845" xr:uid="{00000000-0005-0000-0000-00004D030000}"/>
    <cellStyle name="Normal 16 4 5" xfId="846" xr:uid="{00000000-0005-0000-0000-00004E030000}"/>
    <cellStyle name="Normal 16 4 5 2" xfId="847" xr:uid="{00000000-0005-0000-0000-00004F030000}"/>
    <cellStyle name="Normal 16 4 5 2 2" xfId="848" xr:uid="{00000000-0005-0000-0000-000050030000}"/>
    <cellStyle name="Normal 16 4 5 3" xfId="849" xr:uid="{00000000-0005-0000-0000-000051030000}"/>
    <cellStyle name="Normal 16 4 6" xfId="850" xr:uid="{00000000-0005-0000-0000-000052030000}"/>
    <cellStyle name="Normal 16 4 6 2" xfId="851" xr:uid="{00000000-0005-0000-0000-000053030000}"/>
    <cellStyle name="Normal 16 4 7" xfId="852" xr:uid="{00000000-0005-0000-0000-000054030000}"/>
    <cellStyle name="Normal 16 5" xfId="853" xr:uid="{00000000-0005-0000-0000-000055030000}"/>
    <cellStyle name="Normal 16 5 2" xfId="854" xr:uid="{00000000-0005-0000-0000-000056030000}"/>
    <cellStyle name="Normal 16 5 2 2" xfId="855" xr:uid="{00000000-0005-0000-0000-000057030000}"/>
    <cellStyle name="Normal 16 5 2 2 2" xfId="856" xr:uid="{00000000-0005-0000-0000-000058030000}"/>
    <cellStyle name="Normal 16 5 2 3" xfId="857" xr:uid="{00000000-0005-0000-0000-000059030000}"/>
    <cellStyle name="Normal 16 5 3" xfId="858" xr:uid="{00000000-0005-0000-0000-00005A030000}"/>
    <cellStyle name="Normal 16 5 3 2" xfId="859" xr:uid="{00000000-0005-0000-0000-00005B030000}"/>
    <cellStyle name="Normal 16 5 4" xfId="860" xr:uid="{00000000-0005-0000-0000-00005C030000}"/>
    <cellStyle name="Normal 16 6" xfId="861" xr:uid="{00000000-0005-0000-0000-00005D030000}"/>
    <cellStyle name="Normal 16 6 2" xfId="862" xr:uid="{00000000-0005-0000-0000-00005E030000}"/>
    <cellStyle name="Normal 16 6 2 2" xfId="863" xr:uid="{00000000-0005-0000-0000-00005F030000}"/>
    <cellStyle name="Normal 16 6 3" xfId="864" xr:uid="{00000000-0005-0000-0000-000060030000}"/>
    <cellStyle name="Normal 16 7" xfId="865" xr:uid="{00000000-0005-0000-0000-000061030000}"/>
    <cellStyle name="Normal 16 7 2" xfId="866" xr:uid="{00000000-0005-0000-0000-000062030000}"/>
    <cellStyle name="Normal 16 7 2 2" xfId="867" xr:uid="{00000000-0005-0000-0000-000063030000}"/>
    <cellStyle name="Normal 16 7 3" xfId="868" xr:uid="{00000000-0005-0000-0000-000064030000}"/>
    <cellStyle name="Normal 16 8" xfId="869" xr:uid="{00000000-0005-0000-0000-000065030000}"/>
    <cellStyle name="Normal 16 8 2" xfId="870" xr:uid="{00000000-0005-0000-0000-000066030000}"/>
    <cellStyle name="Normal 16 8 2 2" xfId="871" xr:uid="{00000000-0005-0000-0000-000067030000}"/>
    <cellStyle name="Normal 16 8 3" xfId="872" xr:uid="{00000000-0005-0000-0000-000068030000}"/>
    <cellStyle name="Normal 16 9" xfId="873" xr:uid="{00000000-0005-0000-0000-000069030000}"/>
    <cellStyle name="Normal 16 9 2" xfId="874" xr:uid="{00000000-0005-0000-0000-00006A030000}"/>
    <cellStyle name="Normal 17" xfId="875" xr:uid="{00000000-0005-0000-0000-00006B030000}"/>
    <cellStyle name="Normal 17 10" xfId="876" xr:uid="{00000000-0005-0000-0000-00006C030000}"/>
    <cellStyle name="Normal 17 2" xfId="877" xr:uid="{00000000-0005-0000-0000-00006D030000}"/>
    <cellStyle name="Normal 17 2 2" xfId="878" xr:uid="{00000000-0005-0000-0000-00006E030000}"/>
    <cellStyle name="Normal 17 2 2 2" xfId="879" xr:uid="{00000000-0005-0000-0000-00006F030000}"/>
    <cellStyle name="Normal 17 2 2 2 2" xfId="880" xr:uid="{00000000-0005-0000-0000-000070030000}"/>
    <cellStyle name="Normal 17 2 2 2 2 2" xfId="881" xr:uid="{00000000-0005-0000-0000-000071030000}"/>
    <cellStyle name="Normal 17 2 2 2 2 2 2" xfId="882" xr:uid="{00000000-0005-0000-0000-000072030000}"/>
    <cellStyle name="Normal 17 2 2 2 2 2 2 2" xfId="883" xr:uid="{00000000-0005-0000-0000-000073030000}"/>
    <cellStyle name="Normal 17 2 2 2 2 2 3" xfId="884" xr:uid="{00000000-0005-0000-0000-000074030000}"/>
    <cellStyle name="Normal 17 2 2 2 2 3" xfId="885" xr:uid="{00000000-0005-0000-0000-000075030000}"/>
    <cellStyle name="Normal 17 2 2 2 2 3 2" xfId="886" xr:uid="{00000000-0005-0000-0000-000076030000}"/>
    <cellStyle name="Normal 17 2 2 2 2 4" xfId="887" xr:uid="{00000000-0005-0000-0000-000077030000}"/>
    <cellStyle name="Normal 17 2 2 2 3" xfId="888" xr:uid="{00000000-0005-0000-0000-000078030000}"/>
    <cellStyle name="Normal 17 2 2 2 3 2" xfId="889" xr:uid="{00000000-0005-0000-0000-000079030000}"/>
    <cellStyle name="Normal 17 2 2 2 3 2 2" xfId="890" xr:uid="{00000000-0005-0000-0000-00007A030000}"/>
    <cellStyle name="Normal 17 2 2 2 3 3" xfId="891" xr:uid="{00000000-0005-0000-0000-00007B030000}"/>
    <cellStyle name="Normal 17 2 2 2 4" xfId="892" xr:uid="{00000000-0005-0000-0000-00007C030000}"/>
    <cellStyle name="Normal 17 2 2 2 4 2" xfId="893" xr:uid="{00000000-0005-0000-0000-00007D030000}"/>
    <cellStyle name="Normal 17 2 2 2 5" xfId="894" xr:uid="{00000000-0005-0000-0000-00007E030000}"/>
    <cellStyle name="Normal 17 2 2 3" xfId="895" xr:uid="{00000000-0005-0000-0000-00007F030000}"/>
    <cellStyle name="Normal 17 2 2 3 2" xfId="896" xr:uid="{00000000-0005-0000-0000-000080030000}"/>
    <cellStyle name="Normal 17 2 2 3 2 2" xfId="897" xr:uid="{00000000-0005-0000-0000-000081030000}"/>
    <cellStyle name="Normal 17 2 2 3 2 2 2" xfId="898" xr:uid="{00000000-0005-0000-0000-000082030000}"/>
    <cellStyle name="Normal 17 2 2 3 2 3" xfId="899" xr:uid="{00000000-0005-0000-0000-000083030000}"/>
    <cellStyle name="Normal 17 2 2 3 3" xfId="900" xr:uid="{00000000-0005-0000-0000-000084030000}"/>
    <cellStyle name="Normal 17 2 2 3 3 2" xfId="901" xr:uid="{00000000-0005-0000-0000-000085030000}"/>
    <cellStyle name="Normal 17 2 2 3 4" xfId="902" xr:uid="{00000000-0005-0000-0000-000086030000}"/>
    <cellStyle name="Normal 17 2 2 4" xfId="903" xr:uid="{00000000-0005-0000-0000-000087030000}"/>
    <cellStyle name="Normal 17 2 2 4 2" xfId="904" xr:uid="{00000000-0005-0000-0000-000088030000}"/>
    <cellStyle name="Normal 17 2 2 4 2 2" xfId="905" xr:uid="{00000000-0005-0000-0000-000089030000}"/>
    <cellStyle name="Normal 17 2 2 4 3" xfId="906" xr:uid="{00000000-0005-0000-0000-00008A030000}"/>
    <cellStyle name="Normal 17 2 2 5" xfId="907" xr:uid="{00000000-0005-0000-0000-00008B030000}"/>
    <cellStyle name="Normal 17 2 2 5 2" xfId="908" xr:uid="{00000000-0005-0000-0000-00008C030000}"/>
    <cellStyle name="Normal 17 2 2 5 2 2" xfId="909" xr:uid="{00000000-0005-0000-0000-00008D030000}"/>
    <cellStyle name="Normal 17 2 2 5 3" xfId="910" xr:uid="{00000000-0005-0000-0000-00008E030000}"/>
    <cellStyle name="Normal 17 2 2 6" xfId="911" xr:uid="{00000000-0005-0000-0000-00008F030000}"/>
    <cellStyle name="Normal 17 2 2 6 2" xfId="912" xr:uid="{00000000-0005-0000-0000-000090030000}"/>
    <cellStyle name="Normal 17 2 2 6 2 2" xfId="913" xr:uid="{00000000-0005-0000-0000-000091030000}"/>
    <cellStyle name="Normal 17 2 2 6 3" xfId="914" xr:uid="{00000000-0005-0000-0000-000092030000}"/>
    <cellStyle name="Normal 17 2 2 7" xfId="915" xr:uid="{00000000-0005-0000-0000-000093030000}"/>
    <cellStyle name="Normal 17 2 2 7 2" xfId="916" xr:uid="{00000000-0005-0000-0000-000094030000}"/>
    <cellStyle name="Normal 17 2 2 8" xfId="917" xr:uid="{00000000-0005-0000-0000-000095030000}"/>
    <cellStyle name="Normal 17 2 3" xfId="918" xr:uid="{00000000-0005-0000-0000-000096030000}"/>
    <cellStyle name="Normal 17 2 3 2" xfId="919" xr:uid="{00000000-0005-0000-0000-000097030000}"/>
    <cellStyle name="Normal 17 2 3 2 2" xfId="920" xr:uid="{00000000-0005-0000-0000-000098030000}"/>
    <cellStyle name="Normal 17 2 3 2 2 2" xfId="921" xr:uid="{00000000-0005-0000-0000-000099030000}"/>
    <cellStyle name="Normal 17 2 3 2 2 2 2" xfId="922" xr:uid="{00000000-0005-0000-0000-00009A030000}"/>
    <cellStyle name="Normal 17 2 3 2 2 3" xfId="923" xr:uid="{00000000-0005-0000-0000-00009B030000}"/>
    <cellStyle name="Normal 17 2 3 2 3" xfId="924" xr:uid="{00000000-0005-0000-0000-00009C030000}"/>
    <cellStyle name="Normal 17 2 3 2 3 2" xfId="925" xr:uid="{00000000-0005-0000-0000-00009D030000}"/>
    <cellStyle name="Normal 17 2 3 2 4" xfId="926" xr:uid="{00000000-0005-0000-0000-00009E030000}"/>
    <cellStyle name="Normal 17 2 3 3" xfId="927" xr:uid="{00000000-0005-0000-0000-00009F030000}"/>
    <cellStyle name="Normal 17 2 3 3 2" xfId="928" xr:uid="{00000000-0005-0000-0000-0000A0030000}"/>
    <cellStyle name="Normal 17 2 3 3 2 2" xfId="929" xr:uid="{00000000-0005-0000-0000-0000A1030000}"/>
    <cellStyle name="Normal 17 2 3 3 3" xfId="930" xr:uid="{00000000-0005-0000-0000-0000A2030000}"/>
    <cellStyle name="Normal 17 2 3 4" xfId="931" xr:uid="{00000000-0005-0000-0000-0000A3030000}"/>
    <cellStyle name="Normal 17 2 3 4 2" xfId="932" xr:uid="{00000000-0005-0000-0000-0000A4030000}"/>
    <cellStyle name="Normal 17 2 3 4 2 2" xfId="933" xr:uid="{00000000-0005-0000-0000-0000A5030000}"/>
    <cellStyle name="Normal 17 2 3 4 3" xfId="934" xr:uid="{00000000-0005-0000-0000-0000A6030000}"/>
    <cellStyle name="Normal 17 2 3 5" xfId="935" xr:uid="{00000000-0005-0000-0000-0000A7030000}"/>
    <cellStyle name="Normal 17 2 3 5 2" xfId="936" xr:uid="{00000000-0005-0000-0000-0000A8030000}"/>
    <cellStyle name="Normal 17 2 3 5 2 2" xfId="937" xr:uid="{00000000-0005-0000-0000-0000A9030000}"/>
    <cellStyle name="Normal 17 2 3 5 3" xfId="938" xr:uid="{00000000-0005-0000-0000-0000AA030000}"/>
    <cellStyle name="Normal 17 2 3 6" xfId="939" xr:uid="{00000000-0005-0000-0000-0000AB030000}"/>
    <cellStyle name="Normal 17 2 3 6 2" xfId="940" xr:uid="{00000000-0005-0000-0000-0000AC030000}"/>
    <cellStyle name="Normal 17 2 3 7" xfId="941" xr:uid="{00000000-0005-0000-0000-0000AD030000}"/>
    <cellStyle name="Normal 17 2 4" xfId="942" xr:uid="{00000000-0005-0000-0000-0000AE030000}"/>
    <cellStyle name="Normal 17 2 4 2" xfId="943" xr:uid="{00000000-0005-0000-0000-0000AF030000}"/>
    <cellStyle name="Normal 17 2 4 2 2" xfId="944" xr:uid="{00000000-0005-0000-0000-0000B0030000}"/>
    <cellStyle name="Normal 17 2 4 2 2 2" xfId="945" xr:uid="{00000000-0005-0000-0000-0000B1030000}"/>
    <cellStyle name="Normal 17 2 4 2 3" xfId="946" xr:uid="{00000000-0005-0000-0000-0000B2030000}"/>
    <cellStyle name="Normal 17 2 4 3" xfId="947" xr:uid="{00000000-0005-0000-0000-0000B3030000}"/>
    <cellStyle name="Normal 17 2 4 3 2" xfId="948" xr:uid="{00000000-0005-0000-0000-0000B4030000}"/>
    <cellStyle name="Normal 17 2 4 4" xfId="949" xr:uid="{00000000-0005-0000-0000-0000B5030000}"/>
    <cellStyle name="Normal 17 2 5" xfId="950" xr:uid="{00000000-0005-0000-0000-0000B6030000}"/>
    <cellStyle name="Normal 17 2 5 2" xfId="951" xr:uid="{00000000-0005-0000-0000-0000B7030000}"/>
    <cellStyle name="Normal 17 2 5 2 2" xfId="952" xr:uid="{00000000-0005-0000-0000-0000B8030000}"/>
    <cellStyle name="Normal 17 2 5 3" xfId="953" xr:uid="{00000000-0005-0000-0000-0000B9030000}"/>
    <cellStyle name="Normal 17 2 6" xfId="954" xr:uid="{00000000-0005-0000-0000-0000BA030000}"/>
    <cellStyle name="Normal 17 2 6 2" xfId="955" xr:uid="{00000000-0005-0000-0000-0000BB030000}"/>
    <cellStyle name="Normal 17 2 6 2 2" xfId="956" xr:uid="{00000000-0005-0000-0000-0000BC030000}"/>
    <cellStyle name="Normal 17 2 6 3" xfId="957" xr:uid="{00000000-0005-0000-0000-0000BD030000}"/>
    <cellStyle name="Normal 17 2 7" xfId="958" xr:uid="{00000000-0005-0000-0000-0000BE030000}"/>
    <cellStyle name="Normal 17 2 7 2" xfId="959" xr:uid="{00000000-0005-0000-0000-0000BF030000}"/>
    <cellStyle name="Normal 17 2 7 2 2" xfId="960" xr:uid="{00000000-0005-0000-0000-0000C0030000}"/>
    <cellStyle name="Normal 17 2 7 3" xfId="961" xr:uid="{00000000-0005-0000-0000-0000C1030000}"/>
    <cellStyle name="Normal 17 2 8" xfId="962" xr:uid="{00000000-0005-0000-0000-0000C2030000}"/>
    <cellStyle name="Normal 17 2 8 2" xfId="963" xr:uid="{00000000-0005-0000-0000-0000C3030000}"/>
    <cellStyle name="Normal 17 2 9" xfId="964" xr:uid="{00000000-0005-0000-0000-0000C4030000}"/>
    <cellStyle name="Normal 17 3" xfId="965" xr:uid="{00000000-0005-0000-0000-0000C5030000}"/>
    <cellStyle name="Normal 17 3 2" xfId="966" xr:uid="{00000000-0005-0000-0000-0000C6030000}"/>
    <cellStyle name="Normal 17 3 2 2" xfId="967" xr:uid="{00000000-0005-0000-0000-0000C7030000}"/>
    <cellStyle name="Normal 17 3 2 2 2" xfId="968" xr:uid="{00000000-0005-0000-0000-0000C8030000}"/>
    <cellStyle name="Normal 17 3 2 2 2 2" xfId="969" xr:uid="{00000000-0005-0000-0000-0000C9030000}"/>
    <cellStyle name="Normal 17 3 2 2 2 2 2" xfId="970" xr:uid="{00000000-0005-0000-0000-0000CA030000}"/>
    <cellStyle name="Normal 17 3 2 2 2 3" xfId="971" xr:uid="{00000000-0005-0000-0000-0000CB030000}"/>
    <cellStyle name="Normal 17 3 2 2 3" xfId="972" xr:uid="{00000000-0005-0000-0000-0000CC030000}"/>
    <cellStyle name="Normal 17 3 2 2 3 2" xfId="973" xr:uid="{00000000-0005-0000-0000-0000CD030000}"/>
    <cellStyle name="Normal 17 3 2 2 4" xfId="974" xr:uid="{00000000-0005-0000-0000-0000CE030000}"/>
    <cellStyle name="Normal 17 3 2 3" xfId="975" xr:uid="{00000000-0005-0000-0000-0000CF030000}"/>
    <cellStyle name="Normal 17 3 2 3 2" xfId="976" xr:uid="{00000000-0005-0000-0000-0000D0030000}"/>
    <cellStyle name="Normal 17 3 2 3 2 2" xfId="977" xr:uid="{00000000-0005-0000-0000-0000D1030000}"/>
    <cellStyle name="Normal 17 3 2 3 3" xfId="978" xr:uid="{00000000-0005-0000-0000-0000D2030000}"/>
    <cellStyle name="Normal 17 3 2 4" xfId="979" xr:uid="{00000000-0005-0000-0000-0000D3030000}"/>
    <cellStyle name="Normal 17 3 2 4 2" xfId="980" xr:uid="{00000000-0005-0000-0000-0000D4030000}"/>
    <cellStyle name="Normal 17 3 2 5" xfId="981" xr:uid="{00000000-0005-0000-0000-0000D5030000}"/>
    <cellStyle name="Normal 17 3 3" xfId="982" xr:uid="{00000000-0005-0000-0000-0000D6030000}"/>
    <cellStyle name="Normal 17 3 3 2" xfId="983" xr:uid="{00000000-0005-0000-0000-0000D7030000}"/>
    <cellStyle name="Normal 17 3 3 2 2" xfId="984" xr:uid="{00000000-0005-0000-0000-0000D8030000}"/>
    <cellStyle name="Normal 17 3 3 2 2 2" xfId="985" xr:uid="{00000000-0005-0000-0000-0000D9030000}"/>
    <cellStyle name="Normal 17 3 3 2 3" xfId="986" xr:uid="{00000000-0005-0000-0000-0000DA030000}"/>
    <cellStyle name="Normal 17 3 3 3" xfId="987" xr:uid="{00000000-0005-0000-0000-0000DB030000}"/>
    <cellStyle name="Normal 17 3 3 3 2" xfId="988" xr:uid="{00000000-0005-0000-0000-0000DC030000}"/>
    <cellStyle name="Normal 17 3 3 4" xfId="989" xr:uid="{00000000-0005-0000-0000-0000DD030000}"/>
    <cellStyle name="Normal 17 3 4" xfId="990" xr:uid="{00000000-0005-0000-0000-0000DE030000}"/>
    <cellStyle name="Normal 17 3 4 2" xfId="991" xr:uid="{00000000-0005-0000-0000-0000DF030000}"/>
    <cellStyle name="Normal 17 3 4 2 2" xfId="992" xr:uid="{00000000-0005-0000-0000-0000E0030000}"/>
    <cellStyle name="Normal 17 3 4 2 2 2" xfId="993" xr:uid="{00000000-0005-0000-0000-0000E1030000}"/>
    <cellStyle name="Normal 17 3 4 2 3" xfId="994" xr:uid="{00000000-0005-0000-0000-0000E2030000}"/>
    <cellStyle name="Normal 17 3 4 2 3 2" xfId="995" xr:uid="{00000000-0005-0000-0000-0000E3030000}"/>
    <cellStyle name="Normal 17 3 4 2 4" xfId="996" xr:uid="{00000000-0005-0000-0000-0000E4030000}"/>
    <cellStyle name="Normal 17 3 4 2 4 2" xfId="997" xr:uid="{00000000-0005-0000-0000-0000E5030000}"/>
    <cellStyle name="Normal 17 3 4 2 5" xfId="998" xr:uid="{00000000-0005-0000-0000-0000E6030000}"/>
    <cellStyle name="Normal 17 3 4 3" xfId="999" xr:uid="{00000000-0005-0000-0000-0000E7030000}"/>
    <cellStyle name="Normal 17 3 4 3 2" xfId="1000" xr:uid="{00000000-0005-0000-0000-0000E8030000}"/>
    <cellStyle name="Normal 17 3 4 4" xfId="1001" xr:uid="{00000000-0005-0000-0000-0000E9030000}"/>
    <cellStyle name="Normal 17 3 5" xfId="1002" xr:uid="{00000000-0005-0000-0000-0000EA030000}"/>
    <cellStyle name="Normal 17 3 5 2" xfId="1003" xr:uid="{00000000-0005-0000-0000-0000EB030000}"/>
    <cellStyle name="Normal 17 3 5 2 2" xfId="1004" xr:uid="{00000000-0005-0000-0000-0000EC030000}"/>
    <cellStyle name="Normal 17 3 5 3" xfId="1005" xr:uid="{00000000-0005-0000-0000-0000ED030000}"/>
    <cellStyle name="Normal 17 3 6" xfId="1006" xr:uid="{00000000-0005-0000-0000-0000EE030000}"/>
    <cellStyle name="Normal 17 3 6 2" xfId="1007" xr:uid="{00000000-0005-0000-0000-0000EF030000}"/>
    <cellStyle name="Normal 17 3 6 2 2" xfId="1008" xr:uid="{00000000-0005-0000-0000-0000F0030000}"/>
    <cellStyle name="Normal 17 3 6 3" xfId="1009" xr:uid="{00000000-0005-0000-0000-0000F1030000}"/>
    <cellStyle name="Normal 17 3 7" xfId="1010" xr:uid="{00000000-0005-0000-0000-0000F2030000}"/>
    <cellStyle name="Normal 17 3 7 2" xfId="1011" xr:uid="{00000000-0005-0000-0000-0000F3030000}"/>
    <cellStyle name="Normal 17 3 8" xfId="1012" xr:uid="{00000000-0005-0000-0000-0000F4030000}"/>
    <cellStyle name="Normal 17 4" xfId="1013" xr:uid="{00000000-0005-0000-0000-0000F5030000}"/>
    <cellStyle name="Normal 17 4 2" xfId="1014" xr:uid="{00000000-0005-0000-0000-0000F6030000}"/>
    <cellStyle name="Normal 17 4 2 2" xfId="1015" xr:uid="{00000000-0005-0000-0000-0000F7030000}"/>
    <cellStyle name="Normal 17 4 2 2 2" xfId="1016" xr:uid="{00000000-0005-0000-0000-0000F8030000}"/>
    <cellStyle name="Normal 17 4 2 2 2 2" xfId="1017" xr:uid="{00000000-0005-0000-0000-0000F9030000}"/>
    <cellStyle name="Normal 17 4 2 2 3" xfId="1018" xr:uid="{00000000-0005-0000-0000-0000FA030000}"/>
    <cellStyle name="Normal 17 4 2 3" xfId="1019" xr:uid="{00000000-0005-0000-0000-0000FB030000}"/>
    <cellStyle name="Normal 17 4 2 3 2" xfId="1020" xr:uid="{00000000-0005-0000-0000-0000FC030000}"/>
    <cellStyle name="Normal 17 4 2 4" xfId="1021" xr:uid="{00000000-0005-0000-0000-0000FD030000}"/>
    <cellStyle name="Normal 17 4 3" xfId="1022" xr:uid="{00000000-0005-0000-0000-0000FE030000}"/>
    <cellStyle name="Normal 17 4 3 2" xfId="1023" xr:uid="{00000000-0005-0000-0000-0000FF030000}"/>
    <cellStyle name="Normal 17 4 3 2 2" xfId="1024" xr:uid="{00000000-0005-0000-0000-000000040000}"/>
    <cellStyle name="Normal 17 4 3 3" xfId="1025" xr:uid="{00000000-0005-0000-0000-000001040000}"/>
    <cellStyle name="Normal 17 4 4" xfId="1026" xr:uid="{00000000-0005-0000-0000-000002040000}"/>
    <cellStyle name="Normal 17 4 4 2" xfId="1027" xr:uid="{00000000-0005-0000-0000-000003040000}"/>
    <cellStyle name="Normal 17 4 4 2 2" xfId="1028" xr:uid="{00000000-0005-0000-0000-000004040000}"/>
    <cellStyle name="Normal 17 4 4 3" xfId="1029" xr:uid="{00000000-0005-0000-0000-000005040000}"/>
    <cellStyle name="Normal 17 4 5" xfId="1030" xr:uid="{00000000-0005-0000-0000-000006040000}"/>
    <cellStyle name="Normal 17 4 5 2" xfId="1031" xr:uid="{00000000-0005-0000-0000-000007040000}"/>
    <cellStyle name="Normal 17 4 5 2 2" xfId="1032" xr:uid="{00000000-0005-0000-0000-000008040000}"/>
    <cellStyle name="Normal 17 4 5 3" xfId="1033" xr:uid="{00000000-0005-0000-0000-000009040000}"/>
    <cellStyle name="Normal 17 4 6" xfId="1034" xr:uid="{00000000-0005-0000-0000-00000A040000}"/>
    <cellStyle name="Normal 17 4 6 2" xfId="1035" xr:uid="{00000000-0005-0000-0000-00000B040000}"/>
    <cellStyle name="Normal 17 4 7" xfId="1036" xr:uid="{00000000-0005-0000-0000-00000C040000}"/>
    <cellStyle name="Normal 17 5" xfId="1037" xr:uid="{00000000-0005-0000-0000-00000D040000}"/>
    <cellStyle name="Normal 17 5 2" xfId="1038" xr:uid="{00000000-0005-0000-0000-00000E040000}"/>
    <cellStyle name="Normal 17 5 2 2" xfId="1039" xr:uid="{00000000-0005-0000-0000-00000F040000}"/>
    <cellStyle name="Normal 17 5 2 2 2" xfId="1040" xr:uid="{00000000-0005-0000-0000-000010040000}"/>
    <cellStyle name="Normal 17 5 2 3" xfId="1041" xr:uid="{00000000-0005-0000-0000-000011040000}"/>
    <cellStyle name="Normal 17 5 3" xfId="1042" xr:uid="{00000000-0005-0000-0000-000012040000}"/>
    <cellStyle name="Normal 17 5 3 2" xfId="1043" xr:uid="{00000000-0005-0000-0000-000013040000}"/>
    <cellStyle name="Normal 17 5 4" xfId="1044" xr:uid="{00000000-0005-0000-0000-000014040000}"/>
    <cellStyle name="Normal 17 6" xfId="1045" xr:uid="{00000000-0005-0000-0000-000015040000}"/>
    <cellStyle name="Normal 17 6 2" xfId="1046" xr:uid="{00000000-0005-0000-0000-000016040000}"/>
    <cellStyle name="Normal 17 6 2 2" xfId="1047" xr:uid="{00000000-0005-0000-0000-000017040000}"/>
    <cellStyle name="Normal 17 6 3" xfId="1048" xr:uid="{00000000-0005-0000-0000-000018040000}"/>
    <cellStyle name="Normal 17 7" xfId="1049" xr:uid="{00000000-0005-0000-0000-000019040000}"/>
    <cellStyle name="Normal 17 7 2" xfId="1050" xr:uid="{00000000-0005-0000-0000-00001A040000}"/>
    <cellStyle name="Normal 17 7 2 2" xfId="1051" xr:uid="{00000000-0005-0000-0000-00001B040000}"/>
    <cellStyle name="Normal 17 7 3" xfId="1052" xr:uid="{00000000-0005-0000-0000-00001C040000}"/>
    <cellStyle name="Normal 17 8" xfId="1053" xr:uid="{00000000-0005-0000-0000-00001D040000}"/>
    <cellStyle name="Normal 17 8 2" xfId="1054" xr:uid="{00000000-0005-0000-0000-00001E040000}"/>
    <cellStyle name="Normal 17 8 2 2" xfId="1055" xr:uid="{00000000-0005-0000-0000-00001F040000}"/>
    <cellStyle name="Normal 17 8 3" xfId="1056" xr:uid="{00000000-0005-0000-0000-000020040000}"/>
    <cellStyle name="Normal 17 9" xfId="1057" xr:uid="{00000000-0005-0000-0000-000021040000}"/>
    <cellStyle name="Normal 17 9 2" xfId="1058" xr:uid="{00000000-0005-0000-0000-000022040000}"/>
    <cellStyle name="Normal 18" xfId="1059" xr:uid="{00000000-0005-0000-0000-000023040000}"/>
    <cellStyle name="Normal 18 10" xfId="1060" xr:uid="{00000000-0005-0000-0000-000024040000}"/>
    <cellStyle name="Normal 18 2" xfId="1061" xr:uid="{00000000-0005-0000-0000-000025040000}"/>
    <cellStyle name="Normal 18 2 2" xfId="1062" xr:uid="{00000000-0005-0000-0000-000026040000}"/>
    <cellStyle name="Normal 18 2 2 2" xfId="1063" xr:uid="{00000000-0005-0000-0000-000027040000}"/>
    <cellStyle name="Normal 18 2 2 2 2" xfId="1064" xr:uid="{00000000-0005-0000-0000-000028040000}"/>
    <cellStyle name="Normal 18 2 2 2 2 2" xfId="1065" xr:uid="{00000000-0005-0000-0000-000029040000}"/>
    <cellStyle name="Normal 18 2 2 2 2 2 2" xfId="1066" xr:uid="{00000000-0005-0000-0000-00002A040000}"/>
    <cellStyle name="Normal 18 2 2 2 2 2 2 2" xfId="1067" xr:uid="{00000000-0005-0000-0000-00002B040000}"/>
    <cellStyle name="Normal 18 2 2 2 2 2 3" xfId="1068" xr:uid="{00000000-0005-0000-0000-00002C040000}"/>
    <cellStyle name="Normal 18 2 2 2 2 3" xfId="1069" xr:uid="{00000000-0005-0000-0000-00002D040000}"/>
    <cellStyle name="Normal 18 2 2 2 2 3 2" xfId="1070" xr:uid="{00000000-0005-0000-0000-00002E040000}"/>
    <cellStyle name="Normal 18 2 2 2 2 4" xfId="1071" xr:uid="{00000000-0005-0000-0000-00002F040000}"/>
    <cellStyle name="Normal 18 2 2 2 3" xfId="1072" xr:uid="{00000000-0005-0000-0000-000030040000}"/>
    <cellStyle name="Normal 18 2 2 2 3 2" xfId="1073" xr:uid="{00000000-0005-0000-0000-000031040000}"/>
    <cellStyle name="Normal 18 2 2 2 3 2 2" xfId="1074" xr:uid="{00000000-0005-0000-0000-000032040000}"/>
    <cellStyle name="Normal 18 2 2 2 3 3" xfId="1075" xr:uid="{00000000-0005-0000-0000-000033040000}"/>
    <cellStyle name="Normal 18 2 2 2 4" xfId="1076" xr:uid="{00000000-0005-0000-0000-000034040000}"/>
    <cellStyle name="Normal 18 2 2 2 4 2" xfId="1077" xr:uid="{00000000-0005-0000-0000-000035040000}"/>
    <cellStyle name="Normal 18 2 2 2 5" xfId="1078" xr:uid="{00000000-0005-0000-0000-000036040000}"/>
    <cellStyle name="Normal 18 2 2 3" xfId="1079" xr:uid="{00000000-0005-0000-0000-000037040000}"/>
    <cellStyle name="Normal 18 2 2 3 2" xfId="1080" xr:uid="{00000000-0005-0000-0000-000038040000}"/>
    <cellStyle name="Normal 18 2 2 3 2 2" xfId="1081" xr:uid="{00000000-0005-0000-0000-000039040000}"/>
    <cellStyle name="Normal 18 2 2 3 2 2 2" xfId="1082" xr:uid="{00000000-0005-0000-0000-00003A040000}"/>
    <cellStyle name="Normal 18 2 2 3 2 3" xfId="1083" xr:uid="{00000000-0005-0000-0000-00003B040000}"/>
    <cellStyle name="Normal 18 2 2 3 3" xfId="1084" xr:uid="{00000000-0005-0000-0000-00003C040000}"/>
    <cellStyle name="Normal 18 2 2 3 3 2" xfId="1085" xr:uid="{00000000-0005-0000-0000-00003D040000}"/>
    <cellStyle name="Normal 18 2 2 3 4" xfId="1086" xr:uid="{00000000-0005-0000-0000-00003E040000}"/>
    <cellStyle name="Normal 18 2 2 4" xfId="1087" xr:uid="{00000000-0005-0000-0000-00003F040000}"/>
    <cellStyle name="Normal 18 2 2 4 2" xfId="1088" xr:uid="{00000000-0005-0000-0000-000040040000}"/>
    <cellStyle name="Normal 18 2 2 4 2 2" xfId="1089" xr:uid="{00000000-0005-0000-0000-000041040000}"/>
    <cellStyle name="Normal 18 2 2 4 3" xfId="1090" xr:uid="{00000000-0005-0000-0000-000042040000}"/>
    <cellStyle name="Normal 18 2 2 5" xfId="1091" xr:uid="{00000000-0005-0000-0000-000043040000}"/>
    <cellStyle name="Normal 18 2 2 5 2" xfId="1092" xr:uid="{00000000-0005-0000-0000-000044040000}"/>
    <cellStyle name="Normal 18 2 2 5 2 2" xfId="1093" xr:uid="{00000000-0005-0000-0000-000045040000}"/>
    <cellStyle name="Normal 18 2 2 5 3" xfId="1094" xr:uid="{00000000-0005-0000-0000-000046040000}"/>
    <cellStyle name="Normal 18 2 2 6" xfId="1095" xr:uid="{00000000-0005-0000-0000-000047040000}"/>
    <cellStyle name="Normal 18 2 2 6 2" xfId="1096" xr:uid="{00000000-0005-0000-0000-000048040000}"/>
    <cellStyle name="Normal 18 2 2 6 2 2" xfId="1097" xr:uid="{00000000-0005-0000-0000-000049040000}"/>
    <cellStyle name="Normal 18 2 2 6 3" xfId="1098" xr:uid="{00000000-0005-0000-0000-00004A040000}"/>
    <cellStyle name="Normal 18 2 2 7" xfId="1099" xr:uid="{00000000-0005-0000-0000-00004B040000}"/>
    <cellStyle name="Normal 18 2 2 7 2" xfId="1100" xr:uid="{00000000-0005-0000-0000-00004C040000}"/>
    <cellStyle name="Normal 18 2 2 8" xfId="1101" xr:uid="{00000000-0005-0000-0000-00004D040000}"/>
    <cellStyle name="Normal 18 2 3" xfId="1102" xr:uid="{00000000-0005-0000-0000-00004E040000}"/>
    <cellStyle name="Normal 18 2 3 2" xfId="1103" xr:uid="{00000000-0005-0000-0000-00004F040000}"/>
    <cellStyle name="Normal 18 2 3 2 2" xfId="1104" xr:uid="{00000000-0005-0000-0000-000050040000}"/>
    <cellStyle name="Normal 18 2 3 2 2 2" xfId="1105" xr:uid="{00000000-0005-0000-0000-000051040000}"/>
    <cellStyle name="Normal 18 2 3 2 2 2 2" xfId="1106" xr:uid="{00000000-0005-0000-0000-000052040000}"/>
    <cellStyle name="Normal 18 2 3 2 2 3" xfId="1107" xr:uid="{00000000-0005-0000-0000-000053040000}"/>
    <cellStyle name="Normal 18 2 3 2 3" xfId="1108" xr:uid="{00000000-0005-0000-0000-000054040000}"/>
    <cellStyle name="Normal 18 2 3 2 3 2" xfId="1109" xr:uid="{00000000-0005-0000-0000-000055040000}"/>
    <cellStyle name="Normal 18 2 3 2 4" xfId="1110" xr:uid="{00000000-0005-0000-0000-000056040000}"/>
    <cellStyle name="Normal 18 2 3 3" xfId="1111" xr:uid="{00000000-0005-0000-0000-000057040000}"/>
    <cellStyle name="Normal 18 2 3 3 2" xfId="1112" xr:uid="{00000000-0005-0000-0000-000058040000}"/>
    <cellStyle name="Normal 18 2 3 3 2 2" xfId="1113" xr:uid="{00000000-0005-0000-0000-000059040000}"/>
    <cellStyle name="Normal 18 2 3 3 3" xfId="1114" xr:uid="{00000000-0005-0000-0000-00005A040000}"/>
    <cellStyle name="Normal 18 2 3 4" xfId="1115" xr:uid="{00000000-0005-0000-0000-00005B040000}"/>
    <cellStyle name="Normal 18 2 3 4 2" xfId="1116" xr:uid="{00000000-0005-0000-0000-00005C040000}"/>
    <cellStyle name="Normal 18 2 3 4 2 2" xfId="1117" xr:uid="{00000000-0005-0000-0000-00005D040000}"/>
    <cellStyle name="Normal 18 2 3 4 3" xfId="1118" xr:uid="{00000000-0005-0000-0000-00005E040000}"/>
    <cellStyle name="Normal 18 2 3 5" xfId="1119" xr:uid="{00000000-0005-0000-0000-00005F040000}"/>
    <cellStyle name="Normal 18 2 3 5 2" xfId="1120" xr:uid="{00000000-0005-0000-0000-000060040000}"/>
    <cellStyle name="Normal 18 2 3 5 2 2" xfId="1121" xr:uid="{00000000-0005-0000-0000-000061040000}"/>
    <cellStyle name="Normal 18 2 3 5 3" xfId="1122" xr:uid="{00000000-0005-0000-0000-000062040000}"/>
    <cellStyle name="Normal 18 2 3 6" xfId="1123" xr:uid="{00000000-0005-0000-0000-000063040000}"/>
    <cellStyle name="Normal 18 2 3 6 2" xfId="1124" xr:uid="{00000000-0005-0000-0000-000064040000}"/>
    <cellStyle name="Normal 18 2 3 7" xfId="1125" xr:uid="{00000000-0005-0000-0000-000065040000}"/>
    <cellStyle name="Normal 18 2 4" xfId="1126" xr:uid="{00000000-0005-0000-0000-000066040000}"/>
    <cellStyle name="Normal 18 2 4 2" xfId="1127" xr:uid="{00000000-0005-0000-0000-000067040000}"/>
    <cellStyle name="Normal 18 2 4 2 2" xfId="1128" xr:uid="{00000000-0005-0000-0000-000068040000}"/>
    <cellStyle name="Normal 18 2 4 2 2 2" xfId="1129" xr:uid="{00000000-0005-0000-0000-000069040000}"/>
    <cellStyle name="Normal 18 2 4 2 3" xfId="1130" xr:uid="{00000000-0005-0000-0000-00006A040000}"/>
    <cellStyle name="Normal 18 2 4 3" xfId="1131" xr:uid="{00000000-0005-0000-0000-00006B040000}"/>
    <cellStyle name="Normal 18 2 4 3 2" xfId="1132" xr:uid="{00000000-0005-0000-0000-00006C040000}"/>
    <cellStyle name="Normal 18 2 4 4" xfId="1133" xr:uid="{00000000-0005-0000-0000-00006D040000}"/>
    <cellStyle name="Normal 18 2 5" xfId="1134" xr:uid="{00000000-0005-0000-0000-00006E040000}"/>
    <cellStyle name="Normal 18 2 5 2" xfId="1135" xr:uid="{00000000-0005-0000-0000-00006F040000}"/>
    <cellStyle name="Normal 18 2 5 2 2" xfId="1136" xr:uid="{00000000-0005-0000-0000-000070040000}"/>
    <cellStyle name="Normal 18 2 5 3" xfId="1137" xr:uid="{00000000-0005-0000-0000-000071040000}"/>
    <cellStyle name="Normal 18 2 6" xfId="1138" xr:uid="{00000000-0005-0000-0000-000072040000}"/>
    <cellStyle name="Normal 18 2 6 2" xfId="1139" xr:uid="{00000000-0005-0000-0000-000073040000}"/>
    <cellStyle name="Normal 18 2 6 2 2" xfId="1140" xr:uid="{00000000-0005-0000-0000-000074040000}"/>
    <cellStyle name="Normal 18 2 6 3" xfId="1141" xr:uid="{00000000-0005-0000-0000-000075040000}"/>
    <cellStyle name="Normal 18 2 7" xfId="1142" xr:uid="{00000000-0005-0000-0000-000076040000}"/>
    <cellStyle name="Normal 18 2 7 2" xfId="1143" xr:uid="{00000000-0005-0000-0000-000077040000}"/>
    <cellStyle name="Normal 18 2 7 2 2" xfId="1144" xr:uid="{00000000-0005-0000-0000-000078040000}"/>
    <cellStyle name="Normal 18 2 7 3" xfId="1145" xr:uid="{00000000-0005-0000-0000-000079040000}"/>
    <cellStyle name="Normal 18 2 8" xfId="1146" xr:uid="{00000000-0005-0000-0000-00007A040000}"/>
    <cellStyle name="Normal 18 2 8 2" xfId="1147" xr:uid="{00000000-0005-0000-0000-00007B040000}"/>
    <cellStyle name="Normal 18 2 9" xfId="1148" xr:uid="{00000000-0005-0000-0000-00007C040000}"/>
    <cellStyle name="Normal 18 3" xfId="1149" xr:uid="{00000000-0005-0000-0000-00007D040000}"/>
    <cellStyle name="Normal 18 3 2" xfId="1150" xr:uid="{00000000-0005-0000-0000-00007E040000}"/>
    <cellStyle name="Normal 18 3 2 2" xfId="1151" xr:uid="{00000000-0005-0000-0000-00007F040000}"/>
    <cellStyle name="Normal 18 3 2 2 2" xfId="1152" xr:uid="{00000000-0005-0000-0000-000080040000}"/>
    <cellStyle name="Normal 18 3 2 2 2 2" xfId="1153" xr:uid="{00000000-0005-0000-0000-000081040000}"/>
    <cellStyle name="Normal 18 3 2 2 2 2 2" xfId="1154" xr:uid="{00000000-0005-0000-0000-000082040000}"/>
    <cellStyle name="Normal 18 3 2 2 2 3" xfId="1155" xr:uid="{00000000-0005-0000-0000-000083040000}"/>
    <cellStyle name="Normal 18 3 2 2 3" xfId="1156" xr:uid="{00000000-0005-0000-0000-000084040000}"/>
    <cellStyle name="Normal 18 3 2 2 3 2" xfId="1157" xr:uid="{00000000-0005-0000-0000-000085040000}"/>
    <cellStyle name="Normal 18 3 2 2 4" xfId="1158" xr:uid="{00000000-0005-0000-0000-000086040000}"/>
    <cellStyle name="Normal 18 3 2 3" xfId="1159" xr:uid="{00000000-0005-0000-0000-000087040000}"/>
    <cellStyle name="Normal 18 3 2 3 2" xfId="1160" xr:uid="{00000000-0005-0000-0000-000088040000}"/>
    <cellStyle name="Normal 18 3 2 3 2 2" xfId="1161" xr:uid="{00000000-0005-0000-0000-000089040000}"/>
    <cellStyle name="Normal 18 3 2 3 3" xfId="1162" xr:uid="{00000000-0005-0000-0000-00008A040000}"/>
    <cellStyle name="Normal 18 3 2 4" xfId="1163" xr:uid="{00000000-0005-0000-0000-00008B040000}"/>
    <cellStyle name="Normal 18 3 2 4 2" xfId="1164" xr:uid="{00000000-0005-0000-0000-00008C040000}"/>
    <cellStyle name="Normal 18 3 2 5" xfId="1165" xr:uid="{00000000-0005-0000-0000-00008D040000}"/>
    <cellStyle name="Normal 18 3 3" xfId="1166" xr:uid="{00000000-0005-0000-0000-00008E040000}"/>
    <cellStyle name="Normal 18 3 3 2" xfId="1167" xr:uid="{00000000-0005-0000-0000-00008F040000}"/>
    <cellStyle name="Normal 18 3 3 2 2" xfId="1168" xr:uid="{00000000-0005-0000-0000-000090040000}"/>
    <cellStyle name="Normal 18 3 3 2 2 2" xfId="1169" xr:uid="{00000000-0005-0000-0000-000091040000}"/>
    <cellStyle name="Normal 18 3 3 2 3" xfId="1170" xr:uid="{00000000-0005-0000-0000-000092040000}"/>
    <cellStyle name="Normal 18 3 3 3" xfId="1171" xr:uid="{00000000-0005-0000-0000-000093040000}"/>
    <cellStyle name="Normal 18 3 3 3 2" xfId="1172" xr:uid="{00000000-0005-0000-0000-000094040000}"/>
    <cellStyle name="Normal 18 3 3 4" xfId="1173" xr:uid="{00000000-0005-0000-0000-000095040000}"/>
    <cellStyle name="Normal 18 3 4" xfId="1174" xr:uid="{00000000-0005-0000-0000-000096040000}"/>
    <cellStyle name="Normal 18 3 4 2" xfId="1175" xr:uid="{00000000-0005-0000-0000-000097040000}"/>
    <cellStyle name="Normal 18 3 4 2 2" xfId="1176" xr:uid="{00000000-0005-0000-0000-000098040000}"/>
    <cellStyle name="Normal 18 3 4 2 2 2" xfId="1177" xr:uid="{00000000-0005-0000-0000-000099040000}"/>
    <cellStyle name="Normal 18 3 4 2 3" xfId="1178" xr:uid="{00000000-0005-0000-0000-00009A040000}"/>
    <cellStyle name="Normal 18 3 4 2 3 2" xfId="1179" xr:uid="{00000000-0005-0000-0000-00009B040000}"/>
    <cellStyle name="Normal 18 3 4 2 4" xfId="1180" xr:uid="{00000000-0005-0000-0000-00009C040000}"/>
    <cellStyle name="Normal 18 3 4 2 4 2" xfId="1181" xr:uid="{00000000-0005-0000-0000-00009D040000}"/>
    <cellStyle name="Normal 18 3 4 2 5" xfId="1182" xr:uid="{00000000-0005-0000-0000-00009E040000}"/>
    <cellStyle name="Normal 18 3 4 3" xfId="1183" xr:uid="{00000000-0005-0000-0000-00009F040000}"/>
    <cellStyle name="Normal 18 3 5" xfId="1184" xr:uid="{00000000-0005-0000-0000-0000A0040000}"/>
    <cellStyle name="Normal 18 3 5 2" xfId="1185" xr:uid="{00000000-0005-0000-0000-0000A1040000}"/>
    <cellStyle name="Normal 18 3 5 2 2" xfId="1186" xr:uid="{00000000-0005-0000-0000-0000A2040000}"/>
    <cellStyle name="Normal 18 3 5 3" xfId="1187" xr:uid="{00000000-0005-0000-0000-0000A3040000}"/>
    <cellStyle name="Normal 18 3 6" xfId="1188" xr:uid="{00000000-0005-0000-0000-0000A4040000}"/>
    <cellStyle name="Normal 18 3 6 2" xfId="1189" xr:uid="{00000000-0005-0000-0000-0000A5040000}"/>
    <cellStyle name="Normal 18 3 6 2 2" xfId="1190" xr:uid="{00000000-0005-0000-0000-0000A6040000}"/>
    <cellStyle name="Normal 18 3 6 3" xfId="1191" xr:uid="{00000000-0005-0000-0000-0000A7040000}"/>
    <cellStyle name="Normal 18 3 7" xfId="1192" xr:uid="{00000000-0005-0000-0000-0000A8040000}"/>
    <cellStyle name="Normal 18 3 7 2" xfId="1193" xr:uid="{00000000-0005-0000-0000-0000A9040000}"/>
    <cellStyle name="Normal 18 3 8" xfId="1194" xr:uid="{00000000-0005-0000-0000-0000AA040000}"/>
    <cellStyle name="Normal 18 4" xfId="1195" xr:uid="{00000000-0005-0000-0000-0000AB040000}"/>
    <cellStyle name="Normal 18 4 2" xfId="1196" xr:uid="{00000000-0005-0000-0000-0000AC040000}"/>
    <cellStyle name="Normal 18 4 2 2" xfId="1197" xr:uid="{00000000-0005-0000-0000-0000AD040000}"/>
    <cellStyle name="Normal 18 4 2 2 2" xfId="1198" xr:uid="{00000000-0005-0000-0000-0000AE040000}"/>
    <cellStyle name="Normal 18 4 2 2 2 2" xfId="1199" xr:uid="{00000000-0005-0000-0000-0000AF040000}"/>
    <cellStyle name="Normal 18 4 2 2 3" xfId="1200" xr:uid="{00000000-0005-0000-0000-0000B0040000}"/>
    <cellStyle name="Normal 18 4 2 3" xfId="1201" xr:uid="{00000000-0005-0000-0000-0000B1040000}"/>
    <cellStyle name="Normal 18 4 2 3 2" xfId="1202" xr:uid="{00000000-0005-0000-0000-0000B2040000}"/>
    <cellStyle name="Normal 18 4 2 4" xfId="1203" xr:uid="{00000000-0005-0000-0000-0000B3040000}"/>
    <cellStyle name="Normal 18 4 3" xfId="1204" xr:uid="{00000000-0005-0000-0000-0000B4040000}"/>
    <cellStyle name="Normal 18 4 3 2" xfId="1205" xr:uid="{00000000-0005-0000-0000-0000B5040000}"/>
    <cellStyle name="Normal 18 4 3 2 2" xfId="1206" xr:uid="{00000000-0005-0000-0000-0000B6040000}"/>
    <cellStyle name="Normal 18 4 3 3" xfId="1207" xr:uid="{00000000-0005-0000-0000-0000B7040000}"/>
    <cellStyle name="Normal 18 4 4" xfId="1208" xr:uid="{00000000-0005-0000-0000-0000B8040000}"/>
    <cellStyle name="Normal 18 4 4 2" xfId="1209" xr:uid="{00000000-0005-0000-0000-0000B9040000}"/>
    <cellStyle name="Normal 18 4 4 2 2" xfId="1210" xr:uid="{00000000-0005-0000-0000-0000BA040000}"/>
    <cellStyle name="Normal 18 4 4 3" xfId="1211" xr:uid="{00000000-0005-0000-0000-0000BB040000}"/>
    <cellStyle name="Normal 18 4 5" xfId="1212" xr:uid="{00000000-0005-0000-0000-0000BC040000}"/>
    <cellStyle name="Normal 18 4 5 2" xfId="1213" xr:uid="{00000000-0005-0000-0000-0000BD040000}"/>
    <cellStyle name="Normal 18 4 5 2 2" xfId="1214" xr:uid="{00000000-0005-0000-0000-0000BE040000}"/>
    <cellStyle name="Normal 18 4 5 3" xfId="1215" xr:uid="{00000000-0005-0000-0000-0000BF040000}"/>
    <cellStyle name="Normal 18 4 6" xfId="1216" xr:uid="{00000000-0005-0000-0000-0000C0040000}"/>
    <cellStyle name="Normal 18 4 6 2" xfId="1217" xr:uid="{00000000-0005-0000-0000-0000C1040000}"/>
    <cellStyle name="Normal 18 4 7" xfId="1218" xr:uid="{00000000-0005-0000-0000-0000C2040000}"/>
    <cellStyle name="Normal 18 5" xfId="1219" xr:uid="{00000000-0005-0000-0000-0000C3040000}"/>
    <cellStyle name="Normal 18 5 2" xfId="1220" xr:uid="{00000000-0005-0000-0000-0000C4040000}"/>
    <cellStyle name="Normal 18 5 2 2" xfId="1221" xr:uid="{00000000-0005-0000-0000-0000C5040000}"/>
    <cellStyle name="Normal 18 5 2 2 2" xfId="1222" xr:uid="{00000000-0005-0000-0000-0000C6040000}"/>
    <cellStyle name="Normal 18 5 2 3" xfId="1223" xr:uid="{00000000-0005-0000-0000-0000C7040000}"/>
    <cellStyle name="Normal 18 5 3" xfId="1224" xr:uid="{00000000-0005-0000-0000-0000C8040000}"/>
    <cellStyle name="Normal 18 5 3 2" xfId="1225" xr:uid="{00000000-0005-0000-0000-0000C9040000}"/>
    <cellStyle name="Normal 18 5 4" xfId="1226" xr:uid="{00000000-0005-0000-0000-0000CA040000}"/>
    <cellStyle name="Normal 18 6" xfId="1227" xr:uid="{00000000-0005-0000-0000-0000CB040000}"/>
    <cellStyle name="Normal 18 6 2" xfId="1228" xr:uid="{00000000-0005-0000-0000-0000CC040000}"/>
    <cellStyle name="Normal 18 6 2 2" xfId="1229" xr:uid="{00000000-0005-0000-0000-0000CD040000}"/>
    <cellStyle name="Normal 18 6 3" xfId="1230" xr:uid="{00000000-0005-0000-0000-0000CE040000}"/>
    <cellStyle name="Normal 18 7" xfId="1231" xr:uid="{00000000-0005-0000-0000-0000CF040000}"/>
    <cellStyle name="Normal 18 7 2" xfId="1232" xr:uid="{00000000-0005-0000-0000-0000D0040000}"/>
    <cellStyle name="Normal 18 7 2 2" xfId="1233" xr:uid="{00000000-0005-0000-0000-0000D1040000}"/>
    <cellStyle name="Normal 18 7 3" xfId="1234" xr:uid="{00000000-0005-0000-0000-0000D2040000}"/>
    <cellStyle name="Normal 18 8" xfId="1235" xr:uid="{00000000-0005-0000-0000-0000D3040000}"/>
    <cellStyle name="Normal 18 8 2" xfId="1236" xr:uid="{00000000-0005-0000-0000-0000D4040000}"/>
    <cellStyle name="Normal 18 8 2 2" xfId="1237" xr:uid="{00000000-0005-0000-0000-0000D5040000}"/>
    <cellStyle name="Normal 18 8 3" xfId="1238" xr:uid="{00000000-0005-0000-0000-0000D6040000}"/>
    <cellStyle name="Normal 18 9" xfId="1239" xr:uid="{00000000-0005-0000-0000-0000D7040000}"/>
    <cellStyle name="Normal 18 9 2" xfId="1240" xr:uid="{00000000-0005-0000-0000-0000D8040000}"/>
    <cellStyle name="Normal 19" xfId="1241" xr:uid="{00000000-0005-0000-0000-0000D9040000}"/>
    <cellStyle name="Normal 19 2" xfId="1242" xr:uid="{00000000-0005-0000-0000-0000DA040000}"/>
    <cellStyle name="Normal 19 2 2" xfId="1243" xr:uid="{00000000-0005-0000-0000-0000DB040000}"/>
    <cellStyle name="Normal 19 2 2 2" xfId="1244" xr:uid="{00000000-0005-0000-0000-0000DC040000}"/>
    <cellStyle name="Normal 19 2 2 2 2" xfId="1245" xr:uid="{00000000-0005-0000-0000-0000DD040000}"/>
    <cellStyle name="Normal 19 2 2 2 2 2" xfId="1246" xr:uid="{00000000-0005-0000-0000-0000DE040000}"/>
    <cellStyle name="Normal 19 2 2 2 2 2 2" xfId="1247" xr:uid="{00000000-0005-0000-0000-0000DF040000}"/>
    <cellStyle name="Normal 19 2 2 2 2 3" xfId="1248" xr:uid="{00000000-0005-0000-0000-0000E0040000}"/>
    <cellStyle name="Normal 19 2 2 2 3" xfId="1249" xr:uid="{00000000-0005-0000-0000-0000E1040000}"/>
    <cellStyle name="Normal 19 2 2 2 3 2" xfId="1250" xr:uid="{00000000-0005-0000-0000-0000E2040000}"/>
    <cellStyle name="Normal 19 2 2 2 4" xfId="1251" xr:uid="{00000000-0005-0000-0000-0000E3040000}"/>
    <cellStyle name="Normal 19 2 2 3" xfId="1252" xr:uid="{00000000-0005-0000-0000-0000E4040000}"/>
    <cellStyle name="Normal 19 2 2 3 2" xfId="1253" xr:uid="{00000000-0005-0000-0000-0000E5040000}"/>
    <cellStyle name="Normal 19 2 2 3 2 2" xfId="1254" xr:uid="{00000000-0005-0000-0000-0000E6040000}"/>
    <cellStyle name="Normal 19 2 2 3 3" xfId="1255" xr:uid="{00000000-0005-0000-0000-0000E7040000}"/>
    <cellStyle name="Normal 19 2 2 4" xfId="1256" xr:uid="{00000000-0005-0000-0000-0000E8040000}"/>
    <cellStyle name="Normal 19 2 2 4 2" xfId="1257" xr:uid="{00000000-0005-0000-0000-0000E9040000}"/>
    <cellStyle name="Normal 19 2 2 4 2 2" xfId="1258" xr:uid="{00000000-0005-0000-0000-0000EA040000}"/>
    <cellStyle name="Normal 19 2 2 4 3" xfId="1259" xr:uid="{00000000-0005-0000-0000-0000EB040000}"/>
    <cellStyle name="Normal 19 2 2 5" xfId="1260" xr:uid="{00000000-0005-0000-0000-0000EC040000}"/>
    <cellStyle name="Normal 19 2 2 5 2" xfId="1261" xr:uid="{00000000-0005-0000-0000-0000ED040000}"/>
    <cellStyle name="Normal 19 2 2 5 2 2" xfId="1262" xr:uid="{00000000-0005-0000-0000-0000EE040000}"/>
    <cellStyle name="Normal 19 2 2 5 3" xfId="1263" xr:uid="{00000000-0005-0000-0000-0000EF040000}"/>
    <cellStyle name="Normal 19 2 2 6" xfId="1264" xr:uid="{00000000-0005-0000-0000-0000F0040000}"/>
    <cellStyle name="Normal 19 2 2 6 2" xfId="1265" xr:uid="{00000000-0005-0000-0000-0000F1040000}"/>
    <cellStyle name="Normal 19 2 2 7" xfId="1266" xr:uid="{00000000-0005-0000-0000-0000F2040000}"/>
    <cellStyle name="Normal 19 2 3" xfId="1267" xr:uid="{00000000-0005-0000-0000-0000F3040000}"/>
    <cellStyle name="Normal 19 2 3 2" xfId="1268" xr:uid="{00000000-0005-0000-0000-0000F4040000}"/>
    <cellStyle name="Normal 19 2 3 2 2" xfId="1269" xr:uid="{00000000-0005-0000-0000-0000F5040000}"/>
    <cellStyle name="Normal 19 2 3 2 2 2" xfId="1270" xr:uid="{00000000-0005-0000-0000-0000F6040000}"/>
    <cellStyle name="Normal 19 2 3 2 3" xfId="1271" xr:uid="{00000000-0005-0000-0000-0000F7040000}"/>
    <cellStyle name="Normal 19 2 3 3" xfId="1272" xr:uid="{00000000-0005-0000-0000-0000F8040000}"/>
    <cellStyle name="Normal 19 2 3 3 2" xfId="1273" xr:uid="{00000000-0005-0000-0000-0000F9040000}"/>
    <cellStyle name="Normal 19 2 3 3 2 2" xfId="1274" xr:uid="{00000000-0005-0000-0000-0000FA040000}"/>
    <cellStyle name="Normal 19 2 3 3 3" xfId="1275" xr:uid="{00000000-0005-0000-0000-0000FB040000}"/>
    <cellStyle name="Normal 19 2 3 4" xfId="1276" xr:uid="{00000000-0005-0000-0000-0000FC040000}"/>
    <cellStyle name="Normal 19 2 3 4 2" xfId="1277" xr:uid="{00000000-0005-0000-0000-0000FD040000}"/>
    <cellStyle name="Normal 19 2 3 4 2 2" xfId="1278" xr:uid="{00000000-0005-0000-0000-0000FE040000}"/>
    <cellStyle name="Normal 19 2 3 4 3" xfId="1279" xr:uid="{00000000-0005-0000-0000-0000FF040000}"/>
    <cellStyle name="Normal 19 2 3 5" xfId="1280" xr:uid="{00000000-0005-0000-0000-000000050000}"/>
    <cellStyle name="Normal 19 2 3 5 2" xfId="1281" xr:uid="{00000000-0005-0000-0000-000001050000}"/>
    <cellStyle name="Normal 19 2 3 6" xfId="1282" xr:uid="{00000000-0005-0000-0000-000002050000}"/>
    <cellStyle name="Normal 19 2 4" xfId="1283" xr:uid="{00000000-0005-0000-0000-000003050000}"/>
    <cellStyle name="Normal 19 2 4 2" xfId="1284" xr:uid="{00000000-0005-0000-0000-000004050000}"/>
    <cellStyle name="Normal 19 2 4 2 2" xfId="1285" xr:uid="{00000000-0005-0000-0000-000005050000}"/>
    <cellStyle name="Normal 19 2 4 3" xfId="1286" xr:uid="{00000000-0005-0000-0000-000006050000}"/>
    <cellStyle name="Normal 19 2 5" xfId="1287" xr:uid="{00000000-0005-0000-0000-000007050000}"/>
    <cellStyle name="Normal 19 2 5 2" xfId="1288" xr:uid="{00000000-0005-0000-0000-000008050000}"/>
    <cellStyle name="Normal 19 2 5 2 2" xfId="1289" xr:uid="{00000000-0005-0000-0000-000009050000}"/>
    <cellStyle name="Normal 19 2 5 3" xfId="1290" xr:uid="{00000000-0005-0000-0000-00000A050000}"/>
    <cellStyle name="Normal 19 2 6" xfId="1291" xr:uid="{00000000-0005-0000-0000-00000B050000}"/>
    <cellStyle name="Normal 19 2 6 2" xfId="1292" xr:uid="{00000000-0005-0000-0000-00000C050000}"/>
    <cellStyle name="Normal 19 2 6 2 2" xfId="1293" xr:uid="{00000000-0005-0000-0000-00000D050000}"/>
    <cellStyle name="Normal 19 2 6 3" xfId="1294" xr:uid="{00000000-0005-0000-0000-00000E050000}"/>
    <cellStyle name="Normal 19 2 7" xfId="1295" xr:uid="{00000000-0005-0000-0000-00000F050000}"/>
    <cellStyle name="Normal 19 2 7 2" xfId="1296" xr:uid="{00000000-0005-0000-0000-000010050000}"/>
    <cellStyle name="Normal 19 2 8" xfId="1297" xr:uid="{00000000-0005-0000-0000-000011050000}"/>
    <cellStyle name="Normal 19 3" xfId="1298" xr:uid="{00000000-0005-0000-0000-000012050000}"/>
    <cellStyle name="Normal 19 3 2" xfId="1299" xr:uid="{00000000-0005-0000-0000-000013050000}"/>
    <cellStyle name="Normal 19 3 2 2" xfId="1300" xr:uid="{00000000-0005-0000-0000-000014050000}"/>
    <cellStyle name="Normal 19 3 2 2 2" xfId="1301" xr:uid="{00000000-0005-0000-0000-000015050000}"/>
    <cellStyle name="Normal 19 3 2 2 2 2" xfId="1302" xr:uid="{00000000-0005-0000-0000-000016050000}"/>
    <cellStyle name="Normal 19 3 2 2 3" xfId="1303" xr:uid="{00000000-0005-0000-0000-000017050000}"/>
    <cellStyle name="Normal 19 3 2 3" xfId="1304" xr:uid="{00000000-0005-0000-0000-000018050000}"/>
    <cellStyle name="Normal 19 3 2 3 2" xfId="1305" xr:uid="{00000000-0005-0000-0000-000019050000}"/>
    <cellStyle name="Normal 19 3 2 4" xfId="1306" xr:uid="{00000000-0005-0000-0000-00001A050000}"/>
    <cellStyle name="Normal 19 3 3" xfId="1307" xr:uid="{00000000-0005-0000-0000-00001B050000}"/>
    <cellStyle name="Normal 19 3 3 2" xfId="1308" xr:uid="{00000000-0005-0000-0000-00001C050000}"/>
    <cellStyle name="Normal 19 3 3 2 2" xfId="1309" xr:uid="{00000000-0005-0000-0000-00001D050000}"/>
    <cellStyle name="Normal 19 3 3 3" xfId="1310" xr:uid="{00000000-0005-0000-0000-00001E050000}"/>
    <cellStyle name="Normal 19 3 4" xfId="1311" xr:uid="{00000000-0005-0000-0000-00001F050000}"/>
    <cellStyle name="Normal 19 3 4 2" xfId="1312" xr:uid="{00000000-0005-0000-0000-000020050000}"/>
    <cellStyle name="Normal 19 3 4 2 2" xfId="1313" xr:uid="{00000000-0005-0000-0000-000021050000}"/>
    <cellStyle name="Normal 19 3 4 3" xfId="1314" xr:uid="{00000000-0005-0000-0000-000022050000}"/>
    <cellStyle name="Normal 19 3 5" xfId="1315" xr:uid="{00000000-0005-0000-0000-000023050000}"/>
    <cellStyle name="Normal 19 3 5 2" xfId="1316" xr:uid="{00000000-0005-0000-0000-000024050000}"/>
    <cellStyle name="Normal 19 3 5 2 2" xfId="1317" xr:uid="{00000000-0005-0000-0000-000025050000}"/>
    <cellStyle name="Normal 19 3 5 3" xfId="1318" xr:uid="{00000000-0005-0000-0000-000026050000}"/>
    <cellStyle name="Normal 19 3 6" xfId="1319" xr:uid="{00000000-0005-0000-0000-000027050000}"/>
    <cellStyle name="Normal 19 3 6 2" xfId="1320" xr:uid="{00000000-0005-0000-0000-000028050000}"/>
    <cellStyle name="Normal 19 3 7" xfId="1321" xr:uid="{00000000-0005-0000-0000-000029050000}"/>
    <cellStyle name="Normal 19 4" xfId="1322" xr:uid="{00000000-0005-0000-0000-00002A050000}"/>
    <cellStyle name="Normal 19 4 2" xfId="1323" xr:uid="{00000000-0005-0000-0000-00002B050000}"/>
    <cellStyle name="Normal 19 4 2 2" xfId="1324" xr:uid="{00000000-0005-0000-0000-00002C050000}"/>
    <cellStyle name="Normal 19 4 2 2 2" xfId="1325" xr:uid="{00000000-0005-0000-0000-00002D050000}"/>
    <cellStyle name="Normal 19 4 2 3" xfId="1326" xr:uid="{00000000-0005-0000-0000-00002E050000}"/>
    <cellStyle name="Normal 19 4 3" xfId="1327" xr:uid="{00000000-0005-0000-0000-00002F050000}"/>
    <cellStyle name="Normal 19 4 3 2" xfId="1328" xr:uid="{00000000-0005-0000-0000-000030050000}"/>
    <cellStyle name="Normal 19 4 3 2 2" xfId="1329" xr:uid="{00000000-0005-0000-0000-000031050000}"/>
    <cellStyle name="Normal 19 4 3 3" xfId="1330" xr:uid="{00000000-0005-0000-0000-000032050000}"/>
    <cellStyle name="Normal 19 4 4" xfId="1331" xr:uid="{00000000-0005-0000-0000-000033050000}"/>
    <cellStyle name="Normal 19 4 4 2" xfId="1332" xr:uid="{00000000-0005-0000-0000-000034050000}"/>
    <cellStyle name="Normal 19 4 4 2 2" xfId="1333" xr:uid="{00000000-0005-0000-0000-000035050000}"/>
    <cellStyle name="Normal 19 4 4 3" xfId="1334" xr:uid="{00000000-0005-0000-0000-000036050000}"/>
    <cellStyle name="Normal 19 4 5" xfId="1335" xr:uid="{00000000-0005-0000-0000-000037050000}"/>
    <cellStyle name="Normal 19 4 5 2" xfId="1336" xr:uid="{00000000-0005-0000-0000-000038050000}"/>
    <cellStyle name="Normal 19 4 6" xfId="1337" xr:uid="{00000000-0005-0000-0000-000039050000}"/>
    <cellStyle name="Normal 19 5" xfId="1338" xr:uid="{00000000-0005-0000-0000-00003A050000}"/>
    <cellStyle name="Normal 19 5 2" xfId="1339" xr:uid="{00000000-0005-0000-0000-00003B050000}"/>
    <cellStyle name="Normal 19 5 2 2" xfId="1340" xr:uid="{00000000-0005-0000-0000-00003C050000}"/>
    <cellStyle name="Normal 19 5 3" xfId="1341" xr:uid="{00000000-0005-0000-0000-00003D050000}"/>
    <cellStyle name="Normal 19 6" xfId="1342" xr:uid="{00000000-0005-0000-0000-00003E050000}"/>
    <cellStyle name="Normal 19 6 2" xfId="1343" xr:uid="{00000000-0005-0000-0000-00003F050000}"/>
    <cellStyle name="Normal 19 6 2 2" xfId="1344" xr:uid="{00000000-0005-0000-0000-000040050000}"/>
    <cellStyle name="Normal 19 6 3" xfId="1345" xr:uid="{00000000-0005-0000-0000-000041050000}"/>
    <cellStyle name="Normal 19 7" xfId="1346" xr:uid="{00000000-0005-0000-0000-000042050000}"/>
    <cellStyle name="Normal 19 7 2" xfId="1347" xr:uid="{00000000-0005-0000-0000-000043050000}"/>
    <cellStyle name="Normal 19 7 2 2" xfId="1348" xr:uid="{00000000-0005-0000-0000-000044050000}"/>
    <cellStyle name="Normal 19 7 3" xfId="1349" xr:uid="{00000000-0005-0000-0000-000045050000}"/>
    <cellStyle name="Normal 19 8" xfId="1350" xr:uid="{00000000-0005-0000-0000-000046050000}"/>
    <cellStyle name="Normal 19 8 2" xfId="1351" xr:uid="{00000000-0005-0000-0000-000047050000}"/>
    <cellStyle name="Normal 19 9" xfId="1352" xr:uid="{00000000-0005-0000-0000-000048050000}"/>
    <cellStyle name="Normal 2" xfId="1353" xr:uid="{00000000-0005-0000-0000-000049050000}"/>
    <cellStyle name="Normal 2 10" xfId="1354" xr:uid="{00000000-0005-0000-0000-00004A050000}"/>
    <cellStyle name="Normal 2 10 2" xfId="1355" xr:uid="{00000000-0005-0000-0000-00004B050000}"/>
    <cellStyle name="Normal 2 11" xfId="1356" xr:uid="{00000000-0005-0000-0000-00004C050000}"/>
    <cellStyle name="Normal 2 11 2" xfId="1357" xr:uid="{00000000-0005-0000-0000-00004D050000}"/>
    <cellStyle name="Normal 2 2" xfId="1358" xr:uid="{00000000-0005-0000-0000-00004E050000}"/>
    <cellStyle name="Normal 2 2 10" xfId="1359" xr:uid="{00000000-0005-0000-0000-00004F050000}"/>
    <cellStyle name="Normal 2 2 11" xfId="1360" xr:uid="{00000000-0005-0000-0000-000050050000}"/>
    <cellStyle name="Normal 2 2 2" xfId="1361" xr:uid="{00000000-0005-0000-0000-000051050000}"/>
    <cellStyle name="Normal 2 2 2 2" xfId="1362" xr:uid="{00000000-0005-0000-0000-000052050000}"/>
    <cellStyle name="Normal 2 2 2 2 2" xfId="1363" xr:uid="{00000000-0005-0000-0000-000053050000}"/>
    <cellStyle name="Normal 2 2 2 2 2 2" xfId="1364" xr:uid="{00000000-0005-0000-0000-000054050000}"/>
    <cellStyle name="Normal 2 2 2 2 2 2 2" xfId="1365" xr:uid="{00000000-0005-0000-0000-000055050000}"/>
    <cellStyle name="Normal 2 2 2 2 2 2 2 2" xfId="1366" xr:uid="{00000000-0005-0000-0000-000056050000}"/>
    <cellStyle name="Normal 2 2 2 2 2 2 3" xfId="1367" xr:uid="{00000000-0005-0000-0000-000057050000}"/>
    <cellStyle name="Normal 2 2 2 2 2 3" xfId="1368" xr:uid="{00000000-0005-0000-0000-000058050000}"/>
    <cellStyle name="Normal 2 2 2 2 2 3 2" xfId="1369" xr:uid="{00000000-0005-0000-0000-000059050000}"/>
    <cellStyle name="Normal 2 2 2 2 2 4" xfId="1370" xr:uid="{00000000-0005-0000-0000-00005A050000}"/>
    <cellStyle name="Normal 2 2 2 2 3" xfId="1371" xr:uid="{00000000-0005-0000-0000-00005B050000}"/>
    <cellStyle name="Normal 2 2 2 2 3 2" xfId="1372" xr:uid="{00000000-0005-0000-0000-00005C050000}"/>
    <cellStyle name="Normal 2 2 2 2 3 2 2" xfId="1373" xr:uid="{00000000-0005-0000-0000-00005D050000}"/>
    <cellStyle name="Normal 2 2 2 2 3 3" xfId="1374" xr:uid="{00000000-0005-0000-0000-00005E050000}"/>
    <cellStyle name="Normal 2 2 2 2 4" xfId="1375" xr:uid="{00000000-0005-0000-0000-00005F050000}"/>
    <cellStyle name="Normal 2 2 2 2 4 2" xfId="1376" xr:uid="{00000000-0005-0000-0000-000060050000}"/>
    <cellStyle name="Normal 2 2 2 2 4 2 2" xfId="1377" xr:uid="{00000000-0005-0000-0000-000061050000}"/>
    <cellStyle name="Normal 2 2 2 2 4 3" xfId="1378" xr:uid="{00000000-0005-0000-0000-000062050000}"/>
    <cellStyle name="Normal 2 2 2 2 5" xfId="1379" xr:uid="{00000000-0005-0000-0000-000063050000}"/>
    <cellStyle name="Normal 2 2 2 2 5 2" xfId="1380" xr:uid="{00000000-0005-0000-0000-000064050000}"/>
    <cellStyle name="Normal 2 2 2 2 5 2 2" xfId="1381" xr:uid="{00000000-0005-0000-0000-000065050000}"/>
    <cellStyle name="Normal 2 2 2 2 5 3" xfId="1382" xr:uid="{00000000-0005-0000-0000-000066050000}"/>
    <cellStyle name="Normal 2 2 2 2 6" xfId="1383" xr:uid="{00000000-0005-0000-0000-000067050000}"/>
    <cellStyle name="Normal 2 2 2 2 6 2" xfId="1384" xr:uid="{00000000-0005-0000-0000-000068050000}"/>
    <cellStyle name="Normal 2 2 2 2 7" xfId="1385" xr:uid="{00000000-0005-0000-0000-000069050000}"/>
    <cellStyle name="Normal 2 2 2 3" xfId="1386" xr:uid="{00000000-0005-0000-0000-00006A050000}"/>
    <cellStyle name="Normal 2 2 2 3 2" xfId="1387" xr:uid="{00000000-0005-0000-0000-00006B050000}"/>
    <cellStyle name="Normal 2 2 2 3 2 2" xfId="1388" xr:uid="{00000000-0005-0000-0000-00006C050000}"/>
    <cellStyle name="Normal 2 2 2 3 2 2 2" xfId="1389" xr:uid="{00000000-0005-0000-0000-00006D050000}"/>
    <cellStyle name="Normal 2 2 2 3 2 3" xfId="1390" xr:uid="{00000000-0005-0000-0000-00006E050000}"/>
    <cellStyle name="Normal 2 2 2 3 3" xfId="1391" xr:uid="{00000000-0005-0000-0000-00006F050000}"/>
    <cellStyle name="Normal 2 2 2 3 3 2" xfId="1392" xr:uid="{00000000-0005-0000-0000-000070050000}"/>
    <cellStyle name="Normal 2 2 2 3 3 2 2" xfId="1393" xr:uid="{00000000-0005-0000-0000-000071050000}"/>
    <cellStyle name="Normal 2 2 2 3 3 3" xfId="1394" xr:uid="{00000000-0005-0000-0000-000072050000}"/>
    <cellStyle name="Normal 2 2 2 3 4" xfId="1395" xr:uid="{00000000-0005-0000-0000-000073050000}"/>
    <cellStyle name="Normal 2 2 2 3 4 2" xfId="1396" xr:uid="{00000000-0005-0000-0000-000074050000}"/>
    <cellStyle name="Normal 2 2 2 3 4 2 2" xfId="1397" xr:uid="{00000000-0005-0000-0000-000075050000}"/>
    <cellStyle name="Normal 2 2 2 3 4 3" xfId="1398" xr:uid="{00000000-0005-0000-0000-000076050000}"/>
    <cellStyle name="Normal 2 2 2 3 5" xfId="1399" xr:uid="{00000000-0005-0000-0000-000077050000}"/>
    <cellStyle name="Normal 2 2 2 3 5 2" xfId="1400" xr:uid="{00000000-0005-0000-0000-000078050000}"/>
    <cellStyle name="Normal 2 2 2 3 6" xfId="1401" xr:uid="{00000000-0005-0000-0000-000079050000}"/>
    <cellStyle name="Normal 2 2 2 4" xfId="1402" xr:uid="{00000000-0005-0000-0000-00007A050000}"/>
    <cellStyle name="Normal 2 2 2 4 2" xfId="1403" xr:uid="{00000000-0005-0000-0000-00007B050000}"/>
    <cellStyle name="Normal 2 2 2 4 2 2" xfId="1404" xr:uid="{00000000-0005-0000-0000-00007C050000}"/>
    <cellStyle name="Normal 2 2 2 4 3" xfId="1405" xr:uid="{00000000-0005-0000-0000-00007D050000}"/>
    <cellStyle name="Normal 2 2 2 5" xfId="1406" xr:uid="{00000000-0005-0000-0000-00007E050000}"/>
    <cellStyle name="Normal 2 2 2 5 2" xfId="1407" xr:uid="{00000000-0005-0000-0000-00007F050000}"/>
    <cellStyle name="Normal 2 2 2 5 2 2" xfId="1408" xr:uid="{00000000-0005-0000-0000-000080050000}"/>
    <cellStyle name="Normal 2 2 2 5 3" xfId="1409" xr:uid="{00000000-0005-0000-0000-000081050000}"/>
    <cellStyle name="Normal 2 2 2 6" xfId="1410" xr:uid="{00000000-0005-0000-0000-000082050000}"/>
    <cellStyle name="Normal 2 2 2 6 2" xfId="1411" xr:uid="{00000000-0005-0000-0000-000083050000}"/>
    <cellStyle name="Normal 2 2 2 6 2 2" xfId="1412" xr:uid="{00000000-0005-0000-0000-000084050000}"/>
    <cellStyle name="Normal 2 2 2 6 3" xfId="1413" xr:uid="{00000000-0005-0000-0000-000085050000}"/>
    <cellStyle name="Normal 2 2 2 7" xfId="1414" xr:uid="{00000000-0005-0000-0000-000086050000}"/>
    <cellStyle name="Normal 2 2 2 7 2" xfId="1415" xr:uid="{00000000-0005-0000-0000-000087050000}"/>
    <cellStyle name="Normal 2 2 2 8" xfId="1416" xr:uid="{00000000-0005-0000-0000-000088050000}"/>
    <cellStyle name="Normal 2 2 2 9" xfId="1417" xr:uid="{00000000-0005-0000-0000-000089050000}"/>
    <cellStyle name="Normal 2 2 2 9 2" xfId="1418" xr:uid="{00000000-0005-0000-0000-00008A050000}"/>
    <cellStyle name="Normal 2 2 3" xfId="1419" xr:uid="{00000000-0005-0000-0000-00008B050000}"/>
    <cellStyle name="Normal 2 2 3 2" xfId="1420" xr:uid="{00000000-0005-0000-0000-00008C050000}"/>
    <cellStyle name="Normal 2 2 3 2 2" xfId="1421" xr:uid="{00000000-0005-0000-0000-00008D050000}"/>
    <cellStyle name="Normal 2 2 3 2 2 2" xfId="1422" xr:uid="{00000000-0005-0000-0000-00008E050000}"/>
    <cellStyle name="Normal 2 2 3 2 2 2 2" xfId="1423" xr:uid="{00000000-0005-0000-0000-00008F050000}"/>
    <cellStyle name="Normal 2 2 3 2 2 3" xfId="1424" xr:uid="{00000000-0005-0000-0000-000090050000}"/>
    <cellStyle name="Normal 2 2 3 2 3" xfId="1425" xr:uid="{00000000-0005-0000-0000-000091050000}"/>
    <cellStyle name="Normal 2 2 3 2 3 2" xfId="1426" xr:uid="{00000000-0005-0000-0000-000092050000}"/>
    <cellStyle name="Normal 2 2 3 2 4" xfId="1427" xr:uid="{00000000-0005-0000-0000-000093050000}"/>
    <cellStyle name="Normal 2 2 3 3" xfId="1428" xr:uid="{00000000-0005-0000-0000-000094050000}"/>
    <cellStyle name="Normal 2 2 3 3 2" xfId="1429" xr:uid="{00000000-0005-0000-0000-000095050000}"/>
    <cellStyle name="Normal 2 2 3 3 2 2" xfId="1430" xr:uid="{00000000-0005-0000-0000-000096050000}"/>
    <cellStyle name="Normal 2 2 3 3 3" xfId="1431" xr:uid="{00000000-0005-0000-0000-000097050000}"/>
    <cellStyle name="Normal 2 2 3 4" xfId="1432" xr:uid="{00000000-0005-0000-0000-000098050000}"/>
    <cellStyle name="Normal 2 2 3 4 2" xfId="1433" xr:uid="{00000000-0005-0000-0000-000099050000}"/>
    <cellStyle name="Normal 2 2 3 4 2 2" xfId="1434" xr:uid="{00000000-0005-0000-0000-00009A050000}"/>
    <cellStyle name="Normal 2 2 3 4 3" xfId="1435" xr:uid="{00000000-0005-0000-0000-00009B050000}"/>
    <cellStyle name="Normal 2 2 3 5" xfId="1436" xr:uid="{00000000-0005-0000-0000-00009C050000}"/>
    <cellStyle name="Normal 2 2 3 5 2" xfId="1437" xr:uid="{00000000-0005-0000-0000-00009D050000}"/>
    <cellStyle name="Normal 2 2 3 5 2 2" xfId="1438" xr:uid="{00000000-0005-0000-0000-00009E050000}"/>
    <cellStyle name="Normal 2 2 3 5 3" xfId="1439" xr:uid="{00000000-0005-0000-0000-00009F050000}"/>
    <cellStyle name="Normal 2 2 3 6" xfId="1440" xr:uid="{00000000-0005-0000-0000-0000A0050000}"/>
    <cellStyle name="Normal 2 2 3 6 2" xfId="1441" xr:uid="{00000000-0005-0000-0000-0000A1050000}"/>
    <cellStyle name="Normal 2 2 3 7" xfId="1442" xr:uid="{00000000-0005-0000-0000-0000A2050000}"/>
    <cellStyle name="Normal 2 2 4" xfId="1443" xr:uid="{00000000-0005-0000-0000-0000A3050000}"/>
    <cellStyle name="Normal 2 2 4 2" xfId="1444" xr:uid="{00000000-0005-0000-0000-0000A4050000}"/>
    <cellStyle name="Normal 2 2 4 2 2" xfId="1445" xr:uid="{00000000-0005-0000-0000-0000A5050000}"/>
    <cellStyle name="Normal 2 2 4 2 2 2" xfId="1446" xr:uid="{00000000-0005-0000-0000-0000A6050000}"/>
    <cellStyle name="Normal 2 2 4 2 3" xfId="1447" xr:uid="{00000000-0005-0000-0000-0000A7050000}"/>
    <cellStyle name="Normal 2 2 4 3" xfId="1448" xr:uid="{00000000-0005-0000-0000-0000A8050000}"/>
    <cellStyle name="Normal 2 2 4 3 2" xfId="1449" xr:uid="{00000000-0005-0000-0000-0000A9050000}"/>
    <cellStyle name="Normal 2 2 4 3 2 2" xfId="1450" xr:uid="{00000000-0005-0000-0000-0000AA050000}"/>
    <cellStyle name="Normal 2 2 4 3 3" xfId="1451" xr:uid="{00000000-0005-0000-0000-0000AB050000}"/>
    <cellStyle name="Normal 2 2 4 4" xfId="1452" xr:uid="{00000000-0005-0000-0000-0000AC050000}"/>
    <cellStyle name="Normal 2 2 4 4 2" xfId="1453" xr:uid="{00000000-0005-0000-0000-0000AD050000}"/>
    <cellStyle name="Normal 2 2 4 4 2 2" xfId="1454" xr:uid="{00000000-0005-0000-0000-0000AE050000}"/>
    <cellStyle name="Normal 2 2 4 4 3" xfId="1455" xr:uid="{00000000-0005-0000-0000-0000AF050000}"/>
    <cellStyle name="Normal 2 2 4 5" xfId="1456" xr:uid="{00000000-0005-0000-0000-0000B0050000}"/>
    <cellStyle name="Normal 2 2 4 5 2" xfId="1457" xr:uid="{00000000-0005-0000-0000-0000B1050000}"/>
    <cellStyle name="Normal 2 2 4 6" xfId="1458" xr:uid="{00000000-0005-0000-0000-0000B2050000}"/>
    <cellStyle name="Normal 2 2 5" xfId="1459" xr:uid="{00000000-0005-0000-0000-0000B3050000}"/>
    <cellStyle name="Normal 2 2 5 2" xfId="1460" xr:uid="{00000000-0005-0000-0000-0000B4050000}"/>
    <cellStyle name="Normal 2 2 5 2 2" xfId="1461" xr:uid="{00000000-0005-0000-0000-0000B5050000}"/>
    <cellStyle name="Normal 2 2 5 3" xfId="1462" xr:uid="{00000000-0005-0000-0000-0000B6050000}"/>
    <cellStyle name="Normal 2 2 6" xfId="1463" xr:uid="{00000000-0005-0000-0000-0000B7050000}"/>
    <cellStyle name="Normal 2 2 6 2" xfId="1464" xr:uid="{00000000-0005-0000-0000-0000B8050000}"/>
    <cellStyle name="Normal 2 2 6 2 2" xfId="1465" xr:uid="{00000000-0005-0000-0000-0000B9050000}"/>
    <cellStyle name="Normal 2 2 6 3" xfId="1466" xr:uid="{00000000-0005-0000-0000-0000BA050000}"/>
    <cellStyle name="Normal 2 2 7" xfId="1467" xr:uid="{00000000-0005-0000-0000-0000BB050000}"/>
    <cellStyle name="Normal 2 2 7 2" xfId="1468" xr:uid="{00000000-0005-0000-0000-0000BC050000}"/>
    <cellStyle name="Normal 2 2 7 2 2" xfId="1469" xr:uid="{00000000-0005-0000-0000-0000BD050000}"/>
    <cellStyle name="Normal 2 2 7 3" xfId="1470" xr:uid="{00000000-0005-0000-0000-0000BE050000}"/>
    <cellStyle name="Normal 2 2 8" xfId="1471" xr:uid="{00000000-0005-0000-0000-0000BF050000}"/>
    <cellStyle name="Normal 2 2 8 2" xfId="1472" xr:uid="{00000000-0005-0000-0000-0000C0050000}"/>
    <cellStyle name="Normal 2 2 9" xfId="1473" xr:uid="{00000000-0005-0000-0000-0000C1050000}"/>
    <cellStyle name="Normal 2 2 9 2" xfId="1474" xr:uid="{00000000-0005-0000-0000-0000C2050000}"/>
    <cellStyle name="Normal 2 3" xfId="1475" xr:uid="{00000000-0005-0000-0000-0000C3050000}"/>
    <cellStyle name="Normal 2 3 2" xfId="1476" xr:uid="{00000000-0005-0000-0000-0000C4050000}"/>
    <cellStyle name="Normal 2 3 2 10" xfId="1477" xr:uid="{00000000-0005-0000-0000-0000C5050000}"/>
    <cellStyle name="Normal 2 3 2 2" xfId="1478" xr:uid="{00000000-0005-0000-0000-0000C6050000}"/>
    <cellStyle name="Normal 2 3 2 2 2" xfId="1479" xr:uid="{00000000-0005-0000-0000-0000C7050000}"/>
    <cellStyle name="Normal 2 3 2 2 2 2" xfId="1480" xr:uid="{00000000-0005-0000-0000-0000C8050000}"/>
    <cellStyle name="Normal 2 3 2 2 2 2 2" xfId="1481" xr:uid="{00000000-0005-0000-0000-0000C9050000}"/>
    <cellStyle name="Normal 2 3 2 2 2 3" xfId="1482" xr:uid="{00000000-0005-0000-0000-0000CA050000}"/>
    <cellStyle name="Normal 2 3 2 2 3" xfId="1483" xr:uid="{00000000-0005-0000-0000-0000CB050000}"/>
    <cellStyle name="Normal 2 3 2 2 3 2" xfId="1484" xr:uid="{00000000-0005-0000-0000-0000CC050000}"/>
    <cellStyle name="Normal 2 3 2 2 4" xfId="1485" xr:uid="{00000000-0005-0000-0000-0000CD050000}"/>
    <cellStyle name="Normal 2 3 2 2 5" xfId="1486" xr:uid="{00000000-0005-0000-0000-0000CE050000}"/>
    <cellStyle name="Normal 2 3 2 2 5 2" xfId="1487" xr:uid="{00000000-0005-0000-0000-0000CF050000}"/>
    <cellStyle name="Normal 2 3 2 3" xfId="1488" xr:uid="{00000000-0005-0000-0000-0000D0050000}"/>
    <cellStyle name="Normal 2 3 2 3 2" xfId="1489" xr:uid="{00000000-0005-0000-0000-0000D1050000}"/>
    <cellStyle name="Normal 2 3 2 3 2 2" xfId="1490" xr:uid="{00000000-0005-0000-0000-0000D2050000}"/>
    <cellStyle name="Normal 2 3 2 3 2 3" xfId="1491" xr:uid="{00000000-0005-0000-0000-0000D3050000}"/>
    <cellStyle name="Normal 2 3 2 3 2 3 2" xfId="1492" xr:uid="{00000000-0005-0000-0000-0000D4050000}"/>
    <cellStyle name="Normal 2 3 2 3 3" xfId="1493" xr:uid="{00000000-0005-0000-0000-0000D5050000}"/>
    <cellStyle name="Normal 2 3 2 3 3 2" xfId="1494" xr:uid="{00000000-0005-0000-0000-0000D6050000}"/>
    <cellStyle name="Normal 2 3 2 3 3 2 2" xfId="1495" xr:uid="{00000000-0005-0000-0000-0000D7050000}"/>
    <cellStyle name="Normal 2 3 2 3 3 2 2 2" xfId="1496" xr:uid="{00000000-0005-0000-0000-0000D8050000}"/>
    <cellStyle name="Normal 2 3 2 3 3 2 2 3" xfId="1497" xr:uid="{00000000-0005-0000-0000-0000D9050000}"/>
    <cellStyle name="Normal 2 3 2 3 3 2 2 3 2" xfId="1498" xr:uid="{00000000-0005-0000-0000-0000DA050000}"/>
    <cellStyle name="Normal 2 3 2 3 3 2 2 3 2 2" xfId="1499" xr:uid="{00000000-0005-0000-0000-0000DB050000}"/>
    <cellStyle name="Normal 2 3 2 3 3 2 2 3 2 3" xfId="1500" xr:uid="{00000000-0005-0000-0000-0000DC050000}"/>
    <cellStyle name="Normal 2 3 2 3 3 2 2 3 2 3 2" xfId="1501" xr:uid="{00000000-0005-0000-0000-0000DD050000}"/>
    <cellStyle name="Normal 2 3 2 3 3 2 2 3 2 3 2 2" xfId="1502" xr:uid="{00000000-0005-0000-0000-0000DE050000}"/>
    <cellStyle name="Normal 2 3 2 3 3 2 2 3 2 3 2 3" xfId="1503" xr:uid="{00000000-0005-0000-0000-0000DF050000}"/>
    <cellStyle name="Normal 2 3 2 3 3 2 2 3 2 3 2 3 2" xfId="1504" xr:uid="{00000000-0005-0000-0000-0000E0050000}"/>
    <cellStyle name="Normal 2 3 2 3 3 2 2 3 2 3 2 3 3" xfId="1505" xr:uid="{00000000-0005-0000-0000-0000E1050000}"/>
    <cellStyle name="Normal 2 3 2 3 3 2 2 3 2 3 2 4" xfId="1506" xr:uid="{00000000-0005-0000-0000-0000E2050000}"/>
    <cellStyle name="Normal 2 3 2 3 3 2 2 3 2 3 3" xfId="1507" xr:uid="{00000000-0005-0000-0000-0000E3050000}"/>
    <cellStyle name="Normal 2 3 2 3 3 2 2 3 2 3 4" xfId="1508" xr:uid="{00000000-0005-0000-0000-0000E4050000}"/>
    <cellStyle name="Normal 2 3 2 3 3 2 2 3 2 3 4 2" xfId="1509" xr:uid="{00000000-0005-0000-0000-0000E5050000}"/>
    <cellStyle name="Normal 2 3 2 3 3 2 2 3 2 3 4 3" xfId="1510" xr:uid="{00000000-0005-0000-0000-0000E6050000}"/>
    <cellStyle name="Normal 2 3 2 3 3 2 2 3 2 3 5" xfId="1511" xr:uid="{00000000-0005-0000-0000-0000E7050000}"/>
    <cellStyle name="Normal 2 3 2 3 3 2 2 3 2 4" xfId="1512" xr:uid="{00000000-0005-0000-0000-0000E8050000}"/>
    <cellStyle name="Normal 2 3 2 3 3 2 2 3 2 4 2" xfId="1513" xr:uid="{00000000-0005-0000-0000-0000E9050000}"/>
    <cellStyle name="Normal 2 3 2 3 3 2 2 3 2 4 3" xfId="1514" xr:uid="{00000000-0005-0000-0000-0000EA050000}"/>
    <cellStyle name="Normal 2 3 2 3 3 2 2 3 2 4 3 2" xfId="1515" xr:uid="{00000000-0005-0000-0000-0000EB050000}"/>
    <cellStyle name="Normal 2 3 2 3 3 2 2 3 2 4 3 3" xfId="1516" xr:uid="{00000000-0005-0000-0000-0000EC050000}"/>
    <cellStyle name="Normal 2 3 2 3 3 2 2 3 2 4 4" xfId="1517" xr:uid="{00000000-0005-0000-0000-0000ED050000}"/>
    <cellStyle name="Normal 2 3 2 3 3 2 2 3 2 5" xfId="1518" xr:uid="{00000000-0005-0000-0000-0000EE050000}"/>
    <cellStyle name="Normal 2 3 2 3 3 2 2 3 2 6" xfId="1519" xr:uid="{00000000-0005-0000-0000-0000EF050000}"/>
    <cellStyle name="Normal 2 3 2 3 3 2 2 3 3" xfId="1520" xr:uid="{00000000-0005-0000-0000-0000F0050000}"/>
    <cellStyle name="Normal 2 3 2 3 3 2 2 3 4" xfId="1521" xr:uid="{00000000-0005-0000-0000-0000F1050000}"/>
    <cellStyle name="Normal 2 3 2 3 3 2 2 3 4 2" xfId="1522" xr:uid="{00000000-0005-0000-0000-0000F2050000}"/>
    <cellStyle name="Normal 2 3 2 3 3 2 2 3 4 3" xfId="1523" xr:uid="{00000000-0005-0000-0000-0000F3050000}"/>
    <cellStyle name="Normal 2 3 2 3 3 2 2 3 4 3 2" xfId="1524" xr:uid="{00000000-0005-0000-0000-0000F4050000}"/>
    <cellStyle name="Normal 2 3 2 3 3 2 2 3 4 3 3" xfId="1525" xr:uid="{00000000-0005-0000-0000-0000F5050000}"/>
    <cellStyle name="Normal 2 3 2 3 3 2 2 3 4 4" xfId="1526" xr:uid="{00000000-0005-0000-0000-0000F6050000}"/>
    <cellStyle name="Normal 2 3 2 3 3 2 2 3 5" xfId="1527" xr:uid="{00000000-0005-0000-0000-0000F7050000}"/>
    <cellStyle name="Normal 2 3 2 3 3 2 2 3 5 2" xfId="1528" xr:uid="{00000000-0005-0000-0000-0000F8050000}"/>
    <cellStyle name="Normal 2 3 2 3 3 2 2 3 5 3" xfId="1529" xr:uid="{00000000-0005-0000-0000-0000F9050000}"/>
    <cellStyle name="Normal 2 3 2 3 3 2 2 3 6" xfId="1530" xr:uid="{00000000-0005-0000-0000-0000FA050000}"/>
    <cellStyle name="Normal 2 3 2 3 3 2 2 4" xfId="1531" xr:uid="{00000000-0005-0000-0000-0000FB050000}"/>
    <cellStyle name="Normal 2 3 2 3 3 2 2 4 2" xfId="1532" xr:uid="{00000000-0005-0000-0000-0000FC050000}"/>
    <cellStyle name="Normal 2 3 2 3 3 2 2 4 3" xfId="1533" xr:uid="{00000000-0005-0000-0000-0000FD050000}"/>
    <cellStyle name="Normal 2 3 2 3 3 2 2 4 3 2" xfId="1534" xr:uid="{00000000-0005-0000-0000-0000FE050000}"/>
    <cellStyle name="Normal 2 3 2 3 3 2 2 4 3 3" xfId="1535" xr:uid="{00000000-0005-0000-0000-0000FF050000}"/>
    <cellStyle name="Normal 2 3 2 3 3 2 2 4 4" xfId="1536" xr:uid="{00000000-0005-0000-0000-000000060000}"/>
    <cellStyle name="Percent" xfId="1539" builtinId="5"/>
  </cellStyles>
  <dxfs count="96"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ill>
        <patternFill>
          <bgColor rgb="FFFF0000"/>
        </patternFill>
      </fill>
    </dxf>
    <dxf>
      <font>
        <color rgb="FFD9D9D9"/>
      </font>
    </dxf>
    <dxf>
      <fill>
        <patternFill>
          <bgColor rgb="FFFF0000"/>
        </patternFill>
      </fill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ill>
        <patternFill>
          <bgColor rgb="FFFF0000"/>
        </patternFill>
      </fill>
    </dxf>
    <dxf>
      <font>
        <color rgb="FFD9D9D9"/>
      </font>
    </dxf>
    <dxf>
      <font>
        <color rgb="FFD9D9D9"/>
      </font>
    </dxf>
    <dxf>
      <fill>
        <patternFill>
          <bgColor rgb="FFFF0000"/>
        </patternFill>
      </fill>
    </dxf>
    <dxf>
      <font>
        <color rgb="FFD9D9D9"/>
      </font>
    </dxf>
    <dxf>
      <fill>
        <patternFill>
          <bgColor rgb="FFFF0000"/>
        </patternFill>
      </fill>
    </dxf>
    <dxf>
      <font>
        <color rgb="FFD9D9D9"/>
      </font>
    </dxf>
    <dxf>
      <font>
        <color rgb="FFD9D9D9"/>
      </font>
    </dxf>
    <dxf>
      <fill>
        <patternFill>
          <bgColor rgb="FFFF0000"/>
        </patternFill>
      </fill>
    </dxf>
    <dxf>
      <font>
        <color rgb="FFD9D9D9"/>
      </font>
    </dxf>
    <dxf>
      <fill>
        <patternFill>
          <bgColor rgb="FFFF0000"/>
        </patternFill>
      </fill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ill>
        <patternFill>
          <bgColor rgb="FFFF0000"/>
        </patternFill>
      </fill>
    </dxf>
    <dxf>
      <font>
        <color rgb="FFD9D9D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  <numFmt numFmtId="170" formatCode="_(\$* #,##0.00_);_(\$* \(#,##0.00\);_(\$* \-??_);_(@_)"/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  <numFmt numFmtId="0" formatCode="General"/>
    </dxf>
    <dxf>
      <font>
        <strike val="0"/>
        <outline val="0"/>
        <shadow val="0"/>
        <u val="none"/>
        <vertAlign val="baseline"/>
        <sz val="9"/>
      </font>
      <numFmt numFmtId="0" formatCode="General"/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  <border outline="0">
        <left style="thin">
          <color auto="1"/>
        </left>
      </border>
    </dxf>
    <dxf>
      <font>
        <strike val="0"/>
        <outline val="0"/>
        <shadow val="0"/>
        <u val="none"/>
        <vertAlign val="baseline"/>
        <sz val="9"/>
      </font>
      <fill>
        <patternFill patternType="solid">
          <fgColor indexed="64"/>
          <bgColor rgb="FFFEFED7"/>
        </patternFill>
      </fill>
      <border outline="0">
        <left style="thin">
          <color auto="1"/>
        </left>
      </border>
    </dxf>
    <dxf>
      <font>
        <strike val="0"/>
        <outline val="0"/>
        <shadow val="0"/>
        <u val="none"/>
        <vertAlign val="baseline"/>
        <sz val="9"/>
      </font>
      <fill>
        <patternFill patternType="solid">
          <fgColor indexed="64"/>
          <bgColor rgb="FFFEFED7"/>
        </patternFill>
      </fill>
      <border outline="0">
        <left style="thin">
          <color auto="1"/>
        </left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9"/>
      </font>
      <fill>
        <patternFill patternType="solid">
          <fgColor indexed="64"/>
          <bgColor rgb="FFFEFED7"/>
        </patternFill>
      </fill>
      <border outline="0">
        <left style="thin">
          <color auto="1"/>
        </left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9"/>
      </font>
      <fill>
        <patternFill patternType="solid">
          <fgColor indexed="64"/>
          <bgColor rgb="FFFEFED7"/>
        </patternFill>
      </fill>
      <border outline="0">
        <left style="thin">
          <color auto="1"/>
        </left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9"/>
      </font>
      <fill>
        <patternFill patternType="solid">
          <fgColor indexed="64"/>
          <bgColor rgb="FFFEFED7"/>
        </patternFill>
      </fill>
      <border outline="0"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9"/>
      </font>
      <border outline="0"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vertAlign val="baseline"/>
        <sz val="9"/>
      </font>
    </dxf>
    <dxf>
      <font>
        <strike val="0"/>
        <outline val="0"/>
        <shadow val="0"/>
        <vertAlign val="baseline"/>
        <sz val="9"/>
      </font>
    </dxf>
    <dxf>
      <font>
        <strike val="0"/>
        <outline val="0"/>
        <shadow val="0"/>
        <vertAlign val="baseline"/>
        <sz val="9"/>
      </font>
    </dxf>
    <dxf>
      <font>
        <strike val="0"/>
        <outline val="0"/>
        <shadow val="0"/>
        <vertAlign val="baseline"/>
        <sz val="8"/>
        <color rgb="FF000000"/>
        <name val="Arial"/>
        <family val="2"/>
      </font>
      <fill>
        <patternFill patternType="solid">
          <fgColor rgb="FFF4F6F7"/>
          <bgColor rgb="FFE9F7EF"/>
        </patternFill>
      </fill>
      <alignment horizontal="center" vertical="center"/>
      <border>
        <left/>
        <right/>
        <top/>
        <bottom style="thin">
          <color auto="1"/>
        </bottom>
        <vertical/>
        <horizontal/>
      </border>
    </dxf>
    <dxf>
      <font>
        <strike val="0"/>
        <outline val="0"/>
        <shadow val="0"/>
        <vertAlign val="baseline"/>
        <sz val="9"/>
      </font>
    </dxf>
    <dxf>
      <font>
        <strike val="0"/>
        <outline val="0"/>
        <shadow val="0"/>
        <vertAlign val="baseline"/>
        <sz val="9"/>
      </font>
    </dxf>
    <dxf>
      <font>
        <strike val="0"/>
        <outline val="0"/>
        <shadow val="0"/>
        <vertAlign val="baseline"/>
        <sz val="9"/>
      </font>
    </dxf>
    <dxf>
      <font>
        <strike val="0"/>
        <outline val="0"/>
        <shadow val="0"/>
        <vertAlign val="baseline"/>
        <sz val="9"/>
      </font>
    </dxf>
    <dxf>
      <font>
        <strike val="0"/>
        <outline val="0"/>
        <shadow val="0"/>
        <vertAlign val="baseline"/>
        <sz val="9"/>
      </font>
    </dxf>
    <dxf>
      <font>
        <strike val="0"/>
        <outline val="0"/>
        <shadow val="0"/>
        <vertAlign val="baseline"/>
        <sz val="9"/>
      </font>
    </dxf>
    <dxf>
      <font>
        <strike val="0"/>
        <outline val="0"/>
        <shadow val="0"/>
        <vertAlign val="baseline"/>
        <sz val="9"/>
      </font>
    </dxf>
    <dxf>
      <font>
        <strike val="0"/>
        <outline val="0"/>
        <shadow val="0"/>
        <vertAlign val="baseline"/>
        <sz val="8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FAFAFA"/>
      <rgbColor rgb="FF0000FF"/>
      <rgbColor rgb="FFFFFF00"/>
      <rgbColor rgb="FFFDFEFE"/>
      <rgbColor rgb="FFEAF0FF"/>
      <rgbColor rgb="FF9C0006"/>
      <rgbColor rgb="FF006400"/>
      <rgbColor rgb="FF1F497D"/>
      <rgbColor rgb="FF9C5700"/>
      <rgbColor rgb="FF7030A0"/>
      <rgbColor rgb="FF00703C"/>
      <rgbColor rgb="FFBFBFBF"/>
      <rgbColor rgb="FF4F81BD"/>
      <rgbColor rgb="FF95B3D7"/>
      <rgbColor rgb="FF953735"/>
      <rgbColor rgb="FFFEF0E6"/>
      <rgbColor rgb="FFD6EAF8"/>
      <rgbColor rgb="FF5B2C6F"/>
      <rgbColor rgb="FFD5D8DC"/>
      <rgbColor rgb="FF0070C0"/>
      <rgbColor rgb="FFB9CDE5"/>
      <rgbColor rgb="FF1A5276"/>
      <rgbColor rgb="FFFF00FF"/>
      <rgbColor rgb="FFFDEBD0"/>
      <rgbColor rgb="FFF4F6F7"/>
      <rgbColor rgb="FF800080"/>
      <rgbColor rgb="FF935116"/>
      <rgbColor rgb="FF1D6A39"/>
      <rgbColor rgb="FF3333FF"/>
      <rgbColor rgb="FFF5EEF8"/>
      <rgbColor rgb="FFE9F7EF"/>
      <rgbColor rgb="FFD5F5E3"/>
      <rgbColor rgb="FFFFEB9C"/>
      <rgbColor rgb="FFB7DEE8"/>
      <rgbColor rgb="FFE6B9B8"/>
      <rgbColor rgb="FFAAB7B8"/>
      <rgbColor rgb="FFFFC7CE"/>
      <rgbColor rgb="FF376092"/>
      <rgbColor rgb="FFDCE6F2"/>
      <rgbColor rgb="FF92D050"/>
      <rgbColor rgb="FFD9D9D9"/>
      <rgbColor rgb="FFF4ECF7"/>
      <rgbColor rgb="FFE26B0A"/>
      <rgbColor rgb="FF595959"/>
      <rgbColor rgb="FFA6A6A6"/>
      <rgbColor rgb="FF17375E"/>
      <rgbColor rgb="FF00B050"/>
      <rgbColor rgb="FF1B2631"/>
      <rgbColor rgb="FF212121"/>
      <rgbColor rgb="FFB5420D"/>
      <rgbColor rgb="FF6C3483"/>
      <rgbColor rgb="FF2E4FA0"/>
      <rgbColor rgb="FF2C3E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8B0"/>
      <color rgb="FFFEFE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10584</xdr:colOff>
      <xdr:row>19</xdr:row>
      <xdr:rowOff>21167</xdr:rowOff>
    </xdr:from>
    <xdr:to>
      <xdr:col>1</xdr:col>
      <xdr:colOff>719667</xdr:colOff>
      <xdr:row>21</xdr:row>
      <xdr:rowOff>21165</xdr:rowOff>
    </xdr:to>
    <xdr:sp macro="[0]!NewVendor" textlink="">
      <xdr:nvSpPr>
        <xdr:cNvPr id="3" name="Rounded Rectangle 2">
          <a:extLst>
            <a:ext uri="{FF2B5EF4-FFF2-40B4-BE49-F238E27FC236}">
              <a16:creationId xmlns:a16="http://schemas.microsoft.com/office/drawing/2014/main" id="{C0682BC2-9B1D-7349-A3C5-E892DD6A9535}"/>
            </a:ext>
          </a:extLst>
        </xdr:cNvPr>
        <xdr:cNvSpPr/>
      </xdr:nvSpPr>
      <xdr:spPr>
        <a:xfrm>
          <a:off x="10584" y="3831167"/>
          <a:ext cx="1576916" cy="52916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Click</a:t>
          </a:r>
          <a:r>
            <a:rPr lang="en-US" sz="1100" baseline="0">
              <a:solidFill>
                <a:sysClr val="windowText" lastClr="000000"/>
              </a:solidFill>
            </a:rPr>
            <a:t> to add new Vendor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21</xdr:row>
      <xdr:rowOff>60852</xdr:rowOff>
    </xdr:from>
    <xdr:to>
      <xdr:col>3</xdr:col>
      <xdr:colOff>772583</xdr:colOff>
      <xdr:row>23</xdr:row>
      <xdr:rowOff>95249</xdr:rowOff>
    </xdr:to>
    <xdr:sp macro="[0]!NewStyle" textlink="">
      <xdr:nvSpPr>
        <xdr:cNvPr id="4" name="Rounded Rectangle 3">
          <a:extLst>
            <a:ext uri="{FF2B5EF4-FFF2-40B4-BE49-F238E27FC236}">
              <a16:creationId xmlns:a16="http://schemas.microsoft.com/office/drawing/2014/main" id="{DD55DD59-913E-C04F-B9A5-0745F6EF6A96}"/>
            </a:ext>
          </a:extLst>
        </xdr:cNvPr>
        <xdr:cNvSpPr/>
      </xdr:nvSpPr>
      <xdr:spPr>
        <a:xfrm>
          <a:off x="1651000" y="4400019"/>
          <a:ext cx="1725083" cy="5635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Click to add new style</a:t>
          </a:r>
          <a:r>
            <a:rPr lang="en-US" sz="1100" baseline="0">
              <a:solidFill>
                <a:sysClr val="windowText" lastClr="000000"/>
              </a:solidFill>
            </a:rPr>
            <a:t> row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758295</xdr:colOff>
      <xdr:row>19</xdr:row>
      <xdr:rowOff>22753</xdr:rowOff>
    </xdr:from>
    <xdr:to>
      <xdr:col>3</xdr:col>
      <xdr:colOff>761999</xdr:colOff>
      <xdr:row>21</xdr:row>
      <xdr:rowOff>21166</xdr:rowOff>
    </xdr:to>
    <xdr:sp macro="[0]!TenStyles" textlink="">
      <xdr:nvSpPr>
        <xdr:cNvPr id="5" name="Rounded Rectangle 4">
          <a:extLst>
            <a:ext uri="{FF2B5EF4-FFF2-40B4-BE49-F238E27FC236}">
              <a16:creationId xmlns:a16="http://schemas.microsoft.com/office/drawing/2014/main" id="{97576F8C-6FD6-5546-9E84-631BD7B73B2E}"/>
            </a:ext>
          </a:extLst>
        </xdr:cNvPr>
        <xdr:cNvSpPr/>
      </xdr:nvSpPr>
      <xdr:spPr>
        <a:xfrm>
          <a:off x="1626128" y="3832753"/>
          <a:ext cx="1739371" cy="527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Click</a:t>
          </a:r>
          <a:r>
            <a:rPr lang="en-US" sz="1100" baseline="0">
              <a:solidFill>
                <a:sysClr val="windowText" lastClr="000000"/>
              </a:solidFill>
            </a:rPr>
            <a:t> to add 10 style rows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21</xdr:row>
      <xdr:rowOff>65087</xdr:rowOff>
    </xdr:from>
    <xdr:to>
      <xdr:col>1</xdr:col>
      <xdr:colOff>687917</xdr:colOff>
      <xdr:row>23</xdr:row>
      <xdr:rowOff>105834</xdr:rowOff>
    </xdr:to>
    <xdr:sp macro="[0]!NewStyle" textlink="">
      <xdr:nvSpPr>
        <xdr:cNvPr id="6" name="Rounded Rectangle 5">
          <a:extLst>
            <a:ext uri="{FF2B5EF4-FFF2-40B4-BE49-F238E27FC236}">
              <a16:creationId xmlns:a16="http://schemas.microsoft.com/office/drawing/2014/main" id="{874F23A3-FBC1-114B-BD2F-91B205C1BA9C}"/>
            </a:ext>
          </a:extLst>
        </xdr:cNvPr>
        <xdr:cNvSpPr/>
      </xdr:nvSpPr>
      <xdr:spPr>
        <a:xfrm>
          <a:off x="0" y="4404254"/>
          <a:ext cx="1555750" cy="5699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Click to add new</a:t>
          </a:r>
          <a:r>
            <a:rPr lang="en-US" sz="1100" baseline="0">
              <a:solidFill>
                <a:sysClr val="windowText" lastClr="000000"/>
              </a:solidFill>
            </a:rPr>
            <a:t> fabric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G4:AP14" totalsRowShown="0" headerRowDxfId="95" dataDxfId="94">
  <autoFilter ref="AG4:AP14" xr:uid="{00000000-0009-0000-0100-000001000000}"/>
  <tableColumns count="10">
    <tableColumn id="1" xr3:uid="{00000000-0010-0000-0000-000001000000}" name="Style Number" dataDxfId="93"/>
    <tableColumn id="2" xr3:uid="{00000000-0010-0000-0000-000002000000}" name="Trading Company" dataDxfId="92"/>
    <tableColumn id="3" xr3:uid="{00000000-0010-0000-0000-000003000000}" name="Total Qty" dataDxfId="91"/>
    <tableColumn id="4" xr3:uid="{00000000-0010-0000-0000-000004000000}" name="Confirmed FOB" dataDxfId="90"/>
    <tableColumn id="5" xr3:uid="{00000000-0010-0000-0000-000005000000}" name="SAP Factory" dataDxfId="89"/>
    <tableColumn id="6" xr3:uid="{00000000-0010-0000-0000-000006000000}" name="Check" dataDxfId="88"/>
    <tableColumn id="7" xr3:uid="{00000000-0010-0000-0000-000007000000}" name="Confirmed Factory Cost" dataDxfId="87" dataCellStyle="Currency"/>
    <tableColumn id="8" xr3:uid="{00000000-0010-0000-0000-000008000000}" name="Est LDP" dataDxfId="86"/>
    <tableColumn id="9" xr3:uid="{00000000-0010-0000-0000-000009000000}" name="Projected MU%" dataDxfId="85"/>
    <tableColumn id="10" xr3:uid="{00000000-0010-0000-0000-00000A000000}" name="Buysheet MU%" dataDxfId="8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roduction" displayName="Production" ref="A2:AN16" totalsRowShown="0" headerRowDxfId="83" dataDxfId="82">
  <autoFilter ref="A2:AN16" xr:uid="{00000000-0009-0000-0100-000002000000}"/>
  <tableColumns count="40">
    <tableColumn id="1" xr3:uid="{00000000-0010-0000-0100-000001000000}" name="CUSTOMER" dataDxfId="81"/>
    <tableColumn id="2" xr3:uid="{00000000-0010-0000-0100-000002000000}" name="CRD" dataDxfId="80"/>
    <tableColumn id="3" xr3:uid="{00000000-0010-0000-0100-000003000000}" name="DELIVERY" dataDxfId="79"/>
    <tableColumn id="4" xr3:uid="{00000000-0010-0000-0100-000004000000}" name="REQ#" dataDxfId="78"/>
    <tableColumn id="5" xr3:uid="{00000000-0010-0000-0100-000005000000}" name="PO#" dataDxfId="77"/>
    <tableColumn id="6" xr3:uid="{00000000-0010-0000-0100-000006000000}" name="Price" dataDxfId="76"/>
    <tableColumn id="7" xr3:uid="{00000000-0010-0000-0100-000007000000}" name="QTY" dataDxfId="75"/>
    <tableColumn id="8" xr3:uid="{00000000-0010-0000-0100-000008000000}" name="GENERIC" dataDxfId="74"/>
    <tableColumn id="9" xr3:uid="{00000000-0010-0000-0100-000009000000}" name="Color Desc" dataDxfId="73"/>
    <tableColumn id="10" xr3:uid="{00000000-0010-0000-0100-00000A000000}" name="Split by Color" dataDxfId="72"/>
    <tableColumn id="11" xr3:uid="{00000000-0010-0000-0100-00000B000000}" name="Vendor" dataDxfId="71"/>
    <tableColumn id="12" xr3:uid="{00000000-0010-0000-0100-00000C000000}" name="Factory" dataDxfId="70"/>
    <tableColumn id="13" xr3:uid="{00000000-0010-0000-0100-00000D000000}" name="FOB" dataDxfId="69"/>
    <tableColumn id="14" xr3:uid="{00000000-0010-0000-0100-00000E000000}" name="Term" dataDxfId="68"/>
    <tableColumn id="15" xr3:uid="{00000000-0010-0000-0100-00000F000000}" name="Duty Rate" dataDxfId="67"/>
    <tableColumn id="16" xr3:uid="{00000000-0010-0000-0100-000010000000}" name="Production Notes" dataDxfId="66"/>
    <tableColumn id="17" xr3:uid="{00000000-0010-0000-0100-000011000000}" name="Packing" dataDxfId="65"/>
    <tableColumn id="18" xr3:uid="{00000000-0010-0000-0100-000012000000}" name="Packing Cost" dataDxfId="64"/>
    <tableColumn id="19" xr3:uid="{00000000-0010-0000-0100-000013000000}" name="Size Range" dataDxfId="63"/>
    <tableColumn id="20" xr3:uid="{00000000-0010-0000-0100-000014000000}" name="First Sale Variable" dataDxfId="62"/>
    <tableColumn id="21" xr3:uid="{00000000-0010-0000-0100-000015000000}" name="Vendor2" dataDxfId="61"/>
    <tableColumn id="22" xr3:uid="{00000000-0010-0000-0100-000016000000}" name="COO" dataDxfId="60">
      <calculatedColumnFormula>IFERROR(INDEX(Internal!$A$1:$A$16,MATCH(RIGHT(Production[[#This Row],[Vendor2]],2),Internal!$B$1:$B$16,0)),"")</calculatedColumnFormula>
    </tableColumn>
    <tableColumn id="23" xr3:uid="{00000000-0010-0000-0100-000017000000}" name="Trade Company" dataDxfId="59">
      <calculatedColumnFormula>IFERROR(VLOOKUP(Production[[#This Row],[Vendor2]],Internal!$Z$1:$AA$48,2,FALSE()),"")</calculatedColumnFormula>
    </tableColumn>
    <tableColumn id="24" xr3:uid="{00000000-0010-0000-0100-000018000000}" name="Product Category" dataDxfId="58"/>
    <tableColumn id="25" xr3:uid="{00000000-0010-0000-0100-000019000000}" name="Description" dataDxfId="57"/>
    <tableColumn id="26" xr3:uid="{00000000-0010-0000-0100-00001A000000}" name="MAIN FABRICATION" dataDxfId="56"/>
    <tableColumn id="27" xr3:uid="{00000000-0010-0000-0100-00001B000000}" name="Additional Tariff" dataDxfId="55">
      <calculatedColumnFormula>IF($A$1="USA",IFERROR(VLOOKUP(Production[[#This Row],[COO]],Internal!$A$1:$C$16,3,FALSE()),0),0)</calculatedColumnFormula>
    </tableColumn>
    <tableColumn id="28" xr3:uid="{00000000-0010-0000-0100-00001C000000}" name="Final Duty" dataDxfId="54">
      <calculatedColumnFormula>IF(Production[[#This Row],[Term]]="FCA",0,IF(OR(Production[[#This Row],[Term]]="CIF",Production[[#This Row],[Term]]="Duty Free"),Production[[#This Row],[Additional Tariff]],Production[[#This Row],[Duty Rate]]+Production[[#This Row],[Additional Tariff]]))</calculatedColumnFormula>
    </tableColumn>
    <tableColumn id="29" xr3:uid="{00000000-0010-0000-0100-00001D000000}" name="FINAL PO FOB" dataDxfId="53">
      <calculatedColumnFormula>IF(Production[[#This Row],[Size Range]]="",Production[[#This Row],[FOB]]+Production[[#This Row],[Packing Cost]],IFERROR(VLOOKUP(Production[[#This Row],[Size Range]],Internal!$AF$1:$AG$4,2,FALSE()),1)*Production[[#This Row],[FOB]]+Production[[#This Row],[Packing Cost]])</calculatedColumnFormula>
    </tableColumn>
    <tableColumn id="30" xr3:uid="{00000000-0010-0000-0100-00001E000000}" name="First Sale" dataDxfId="52">
      <calculatedColumnFormula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calculatedColumnFormula>
    </tableColumn>
    <tableColumn id="31" xr3:uid="{00000000-0010-0000-0100-00001F000000}" name="Duty Amount" dataDxfId="51">
      <calculatedColumnFormula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calculatedColumnFormula>
    </tableColumn>
    <tableColumn id="32" xr3:uid="{00000000-0010-0000-0100-000020000000}" name="Freight" dataDxfId="50">
      <calculatedColumnFormula>IF(OR(TRIM(Production[[#This Row],[Term]])="FOB",TRIM(Production[[#This Row],[Term]])="First Sale",TRIM(Production[[#This Row],[Term]])="Duty Free"),IFERROR(VLOOKUP(Production[[#This Row],[GENERIC]],'Pre Costing'!$A4:$L19,6,FALSE()),0),0)</calculatedColumnFormula>
    </tableColumn>
    <tableColumn id="33" xr3:uid="{00000000-0010-0000-0100-000021000000}" name="Total Freight" dataDxfId="49">
      <calculatedColumnFormula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calculatedColumnFormula>
    </tableColumn>
    <tableColumn id="34" xr3:uid="{00000000-0010-0000-0100-000022000000}" name="HL LDP" dataDxfId="48">
      <calculatedColumnFormula>Production[[#This Row],[FINAL PO FOB]]+Production[[#This Row],[Duty Amount]]+Production[[#This Row],[Total Freight]]</calculatedColumnFormula>
    </tableColumn>
    <tableColumn id="35" xr3:uid="{00000000-0010-0000-0100-000023000000}" name="MU%" dataDxfId="47">
      <calculatedColumnFormula>IFERROR((Production[[#This Row],[Price]]-Production[[#This Row],[HL LDP]])/Production[[#This Row],[Price]],"")</calculatedColumnFormula>
    </tableColumn>
    <tableColumn id="36" xr3:uid="{00000000-0010-0000-0100-000024000000}" name="Total FOB" dataDxfId="46"/>
    <tableColumn id="37" xr3:uid="{00000000-0010-0000-0100-000025000000}" name="Total LDP" dataDxfId="45">
      <calculatedColumnFormula>Production[[#This Row],[HL LDP]]*Production[[#This Row],[QTY]]</calculatedColumnFormula>
    </tableColumn>
    <tableColumn id="38" xr3:uid="{00000000-0010-0000-0100-000026000000}" name="Total SELL" dataDxfId="44"/>
    <tableColumn id="39" xr3:uid="{00000000-0010-0000-0100-000027000000}" name="FOB Pre Costing" dataDxfId="43"/>
    <tableColumn id="40" xr3:uid="{00000000-0010-0000-0100-000028000000}" name="LDP Checker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G41"/>
  <sheetViews>
    <sheetView tabSelected="1" zoomScale="120" zoomScaleNormal="120" zoomScalePageLayoutView="20" workbookViewId="0">
      <pane ySplit="4" topLeftCell="A5" activePane="bottomLeft" state="frozen"/>
      <selection pane="bottomLeft" activeCell="A15" sqref="A15:XFD15"/>
    </sheetView>
  </sheetViews>
  <sheetFormatPr baseColWidth="10" defaultColWidth="9.1640625" defaultRowHeight="12" outlineLevelCol="1"/>
  <cols>
    <col min="1" max="1" width="11.33203125" style="83" bestFit="1" customWidth="1"/>
    <col min="2" max="2" width="10.33203125" style="19" customWidth="1"/>
    <col min="3" max="3" width="12.5" style="84" customWidth="1"/>
    <col min="4" max="4" width="26.1640625" style="19" customWidth="1"/>
    <col min="5" max="5" width="8" style="87" customWidth="1"/>
    <col min="6" max="6" width="7.5" style="89" customWidth="1"/>
    <col min="7" max="7" width="7.6640625" style="85" customWidth="1"/>
    <col min="8" max="8" width="8.6640625" style="84" customWidth="1"/>
    <col min="9" max="9" width="7.5" style="85" customWidth="1"/>
    <col min="10" max="10" width="8.83203125" style="85" customWidth="1"/>
    <col min="11" max="12" width="9" style="86" customWidth="1"/>
    <col min="13" max="13" width="8.5" style="89" customWidth="1"/>
    <col min="14" max="14" width="5.6640625" style="90" customWidth="1"/>
    <col min="15" max="15" width="6" style="90" customWidth="1"/>
    <col min="16" max="16" width="7" style="90" customWidth="1"/>
    <col min="17" max="17" width="7.83203125" style="90" bestFit="1" customWidth="1"/>
    <col min="18" max="18" width="6.1640625" style="90" customWidth="1"/>
    <col min="19" max="19" width="6.5" style="73" customWidth="1"/>
    <col min="20" max="20" width="5.6640625" style="90" customWidth="1"/>
    <col min="21" max="21" width="6" style="90" customWidth="1"/>
    <col min="22" max="22" width="7" style="90" customWidth="1"/>
    <col min="23" max="23" width="7.83203125" style="90" bestFit="1" customWidth="1"/>
    <col min="24" max="24" width="6.1640625" style="90" customWidth="1"/>
    <col min="25" max="25" width="7" style="73" customWidth="1"/>
    <col min="26" max="26" width="5.6640625" style="90" customWidth="1"/>
    <col min="27" max="27" width="6" style="90" customWidth="1"/>
    <col min="28" max="28" width="7" style="90" customWidth="1"/>
    <col min="29" max="29" width="7.83203125" style="90" bestFit="1" customWidth="1"/>
    <col min="30" max="30" width="6.1640625" style="90" customWidth="1"/>
    <col min="31" max="31" width="7.33203125" style="73" customWidth="1"/>
    <col min="32" max="32" width="2.33203125" style="73" customWidth="1"/>
    <col min="33" max="33" width="12.5" style="73" customWidth="1"/>
    <col min="34" max="34" width="8.6640625" style="73" customWidth="1" outlineLevel="1"/>
    <col min="35" max="35" width="7" style="73" customWidth="1" outlineLevel="1"/>
    <col min="36" max="36" width="7.5" style="73" customWidth="1" outlineLevel="1"/>
    <col min="37" max="37" width="9.33203125" style="73" customWidth="1" outlineLevel="1"/>
    <col min="38" max="38" width="6.6640625" style="73" customWidth="1"/>
    <col min="39" max="39" width="11.5" style="73" customWidth="1"/>
    <col min="40" max="40" width="8" style="73" customWidth="1" outlineLevel="1"/>
    <col min="41" max="41" width="8.33203125" style="73" customWidth="1"/>
    <col min="42" max="42" width="7.6640625" style="73" customWidth="1"/>
    <col min="43" max="43" width="6.33203125" style="73" customWidth="1"/>
    <col min="44" max="44" width="5.33203125" style="73" customWidth="1" outlineLevel="1"/>
    <col min="45" max="45" width="6.6640625" style="73" customWidth="1" outlineLevel="1"/>
    <col min="46" max="46" width="5.6640625" style="91" customWidth="1" outlineLevel="1"/>
    <col min="47" max="47" width="6.33203125" style="89" customWidth="1" outlineLevel="1"/>
    <col min="48" max="48" width="7.5" style="91" customWidth="1" outlineLevel="1"/>
    <col min="49" max="49" width="6.33203125" style="89" customWidth="1" outlineLevel="1"/>
    <col min="50" max="50" width="6" style="91" customWidth="1" outlineLevel="1"/>
    <col min="51" max="51" width="6.5" style="89" customWidth="1" outlineLevel="1"/>
    <col min="52" max="52" width="7" style="91" bestFit="1" customWidth="1" outlineLevel="1"/>
    <col min="53" max="53" width="5.83203125" style="89" customWidth="1" outlineLevel="1"/>
    <col min="54" max="54" width="5.83203125" style="91" customWidth="1" outlineLevel="1"/>
    <col min="55" max="55" width="11.6640625" style="90" bestFit="1" customWidth="1"/>
    <col min="56" max="56" width="10" style="90" customWidth="1"/>
    <col min="57" max="57" width="31" style="89" customWidth="1" outlineLevel="1"/>
    <col min="58" max="58" width="18.6640625" style="91" bestFit="1" customWidth="1"/>
    <col min="59" max="59" width="13.5" style="89" bestFit="1" customWidth="1"/>
    <col min="60" max="60" width="9.1640625" style="73" customWidth="1"/>
    <col min="61" max="16384" width="9.1640625" style="73"/>
  </cols>
  <sheetData>
    <row r="1" spans="1:59" s="103" customFormat="1" ht="13" customHeight="1" thickBot="1">
      <c r="A1" s="98" t="s">
        <v>0</v>
      </c>
      <c r="B1" s="99" t="s">
        <v>1</v>
      </c>
      <c r="C1" s="100" t="s">
        <v>2</v>
      </c>
      <c r="D1" s="101"/>
      <c r="E1" s="99"/>
      <c r="F1" s="99"/>
      <c r="G1" s="101"/>
      <c r="H1" s="99"/>
      <c r="I1" s="99"/>
      <c r="J1" s="99"/>
      <c r="K1" s="99"/>
      <c r="L1" s="99"/>
      <c r="M1" s="100"/>
      <c r="N1" s="289">
        <v>300045</v>
      </c>
      <c r="O1" s="290"/>
      <c r="P1" s="291"/>
      <c r="Q1" s="296">
        <v>45924</v>
      </c>
      <c r="R1" s="290"/>
      <c r="S1" s="297"/>
      <c r="T1" s="289">
        <v>300045</v>
      </c>
      <c r="U1" s="290"/>
      <c r="V1" s="291"/>
      <c r="W1" s="296">
        <v>45924</v>
      </c>
      <c r="X1" s="290"/>
      <c r="Y1" s="297"/>
      <c r="Z1" s="289">
        <v>300045</v>
      </c>
      <c r="AA1" s="290"/>
      <c r="AB1" s="291"/>
      <c r="AC1" s="296">
        <v>45924</v>
      </c>
      <c r="AD1" s="290"/>
      <c r="AE1" s="297"/>
      <c r="AF1" s="292"/>
      <c r="AG1" s="298" t="s">
        <v>3</v>
      </c>
      <c r="AH1" s="276"/>
      <c r="AI1" s="276"/>
      <c r="AJ1" s="276"/>
      <c r="AK1" s="276"/>
      <c r="AL1" s="293" t="s">
        <v>4</v>
      </c>
      <c r="AM1" s="294"/>
      <c r="AN1" s="285" t="s">
        <v>5</v>
      </c>
      <c r="AO1" s="276"/>
      <c r="AP1" s="276"/>
      <c r="AQ1" s="275" t="s">
        <v>6</v>
      </c>
      <c r="AR1" s="276"/>
      <c r="AS1" s="276"/>
      <c r="AT1" s="276"/>
      <c r="AU1" s="276"/>
      <c r="AV1" s="276"/>
      <c r="AW1" s="276"/>
      <c r="AX1" s="276"/>
      <c r="AY1" s="276"/>
      <c r="AZ1" s="276"/>
      <c r="BA1" s="276"/>
      <c r="BB1" s="276"/>
      <c r="BC1" s="155">
        <v>300045</v>
      </c>
      <c r="BD1" s="102">
        <v>45924</v>
      </c>
      <c r="BE1" s="282" t="s">
        <v>7</v>
      </c>
      <c r="BF1" s="288" t="s">
        <v>8</v>
      </c>
      <c r="BG1" s="288" t="s">
        <v>9</v>
      </c>
    </row>
    <row r="2" spans="1:59" s="103" customFormat="1" ht="16" thickBot="1">
      <c r="A2" s="104">
        <f>VLOOKUP(A1,Internal!AI:AK,2,FALSE())</f>
        <v>0.55000000000000004</v>
      </c>
      <c r="B2" s="105" t="s">
        <v>10</v>
      </c>
      <c r="C2" s="106"/>
      <c r="D2" s="101"/>
      <c r="E2" s="101"/>
      <c r="F2" s="101"/>
      <c r="G2" s="101"/>
      <c r="H2" s="101"/>
      <c r="I2" s="101"/>
      <c r="J2" s="101"/>
      <c r="K2" s="101"/>
      <c r="L2" s="101"/>
      <c r="M2" s="107"/>
      <c r="N2" s="286" t="s">
        <v>77</v>
      </c>
      <c r="O2" s="273"/>
      <c r="P2" s="287"/>
      <c r="Q2" s="272" t="s">
        <v>11</v>
      </c>
      <c r="R2" s="273"/>
      <c r="S2" s="274"/>
      <c r="T2" s="286" t="s">
        <v>64</v>
      </c>
      <c r="U2" s="273"/>
      <c r="V2" s="287"/>
      <c r="W2" s="272" t="s">
        <v>12</v>
      </c>
      <c r="X2" s="273"/>
      <c r="Y2" s="274"/>
      <c r="Z2" s="286" t="s">
        <v>72</v>
      </c>
      <c r="AA2" s="273"/>
      <c r="AB2" s="287"/>
      <c r="AC2" s="272" t="s">
        <v>13</v>
      </c>
      <c r="AD2" s="273"/>
      <c r="AE2" s="274"/>
      <c r="AF2" s="292"/>
      <c r="AG2" s="276"/>
      <c r="AH2" s="276"/>
      <c r="AI2" s="276"/>
      <c r="AJ2" s="276"/>
      <c r="AK2" s="276"/>
      <c r="AL2" s="276"/>
      <c r="AM2" s="295"/>
      <c r="AN2" s="276"/>
      <c r="AO2" s="276"/>
      <c r="AP2" s="276"/>
      <c r="AQ2" s="276"/>
      <c r="AR2" s="276"/>
      <c r="AS2" s="276"/>
      <c r="AT2" s="276"/>
      <c r="AU2" s="276"/>
      <c r="AV2" s="276"/>
      <c r="AW2" s="276"/>
      <c r="AX2" s="276"/>
      <c r="AY2" s="276"/>
      <c r="AZ2" s="276"/>
      <c r="BA2" s="276"/>
      <c r="BB2" s="276"/>
      <c r="BC2" s="156" t="s">
        <v>14</v>
      </c>
      <c r="BD2" s="108" t="s">
        <v>13</v>
      </c>
      <c r="BE2" s="283"/>
      <c r="BF2" s="283"/>
      <c r="BG2" s="283"/>
    </row>
    <row r="3" spans="1:59" s="103" customFormat="1" ht="16" thickBot="1">
      <c r="A3" s="109" t="s">
        <v>15</v>
      </c>
      <c r="B3" s="110" t="s">
        <v>16</v>
      </c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7"/>
      <c r="N3" s="277" t="s">
        <v>17</v>
      </c>
      <c r="O3" s="278"/>
      <c r="P3" s="279"/>
      <c r="Q3" s="280">
        <f>IF($A$3="USA",VLOOKUP(N3,Internal!$B$1:$C$17,2,0),0)</f>
        <v>0.19</v>
      </c>
      <c r="R3" s="278"/>
      <c r="S3" s="281"/>
      <c r="T3" s="277" t="s">
        <v>18</v>
      </c>
      <c r="U3" s="278"/>
      <c r="V3" s="279"/>
      <c r="W3" s="280">
        <f>IF($A$3="USA",VLOOKUP(T3,Internal!$B$1:$C$17,2,0),0)</f>
        <v>0.19</v>
      </c>
      <c r="X3" s="278"/>
      <c r="Y3" s="281"/>
      <c r="Z3" s="277" t="s">
        <v>19</v>
      </c>
      <c r="AA3" s="278"/>
      <c r="AB3" s="279"/>
      <c r="AC3" s="280">
        <f>IF($A$3="USA",VLOOKUP(Z3,Internal!$B$1:$C$17,2,0),0)</f>
        <v>0.15</v>
      </c>
      <c r="AD3" s="278"/>
      <c r="AE3" s="281"/>
      <c r="AF3" s="292"/>
      <c r="AG3" s="276"/>
      <c r="AH3" s="276"/>
      <c r="AI3" s="276"/>
      <c r="AJ3" s="276"/>
      <c r="AK3" s="276"/>
      <c r="AL3" s="276"/>
      <c r="AM3" s="295"/>
      <c r="AN3" s="276"/>
      <c r="AO3" s="276"/>
      <c r="AP3" s="276"/>
      <c r="AQ3" s="276"/>
      <c r="AR3" s="276"/>
      <c r="AS3" s="276"/>
      <c r="AT3" s="276"/>
      <c r="AU3" s="276"/>
      <c r="AV3" s="276"/>
      <c r="AW3" s="276"/>
      <c r="AX3" s="276"/>
      <c r="AY3" s="276"/>
      <c r="AZ3" s="276"/>
      <c r="BA3" s="276"/>
      <c r="BB3" s="276"/>
      <c r="BC3" s="157" t="s">
        <v>18</v>
      </c>
      <c r="BD3" s="111">
        <f>IF($A$3="USA",VLOOKUP(BC3,Internal!$B$1:$C$17,2,0),0)</f>
        <v>0.19</v>
      </c>
      <c r="BE3" s="283"/>
      <c r="BF3" s="283"/>
      <c r="BG3" s="283"/>
    </row>
    <row r="4" spans="1:59" s="122" customFormat="1" ht="37" customHeight="1" thickBot="1">
      <c r="A4" s="112" t="s">
        <v>20</v>
      </c>
      <c r="B4" s="112" t="s">
        <v>21</v>
      </c>
      <c r="C4" s="112" t="s">
        <v>22</v>
      </c>
      <c r="D4" s="112" t="s">
        <v>23</v>
      </c>
      <c r="E4" s="115" t="s">
        <v>30</v>
      </c>
      <c r="F4" s="115" t="s">
        <v>31</v>
      </c>
      <c r="G4" s="113" t="s">
        <v>24</v>
      </c>
      <c r="H4" s="113" t="s">
        <v>25</v>
      </c>
      <c r="I4" s="113" t="s">
        <v>26</v>
      </c>
      <c r="J4" s="113" t="s">
        <v>27</v>
      </c>
      <c r="K4" s="114" t="s">
        <v>28</v>
      </c>
      <c r="L4" s="114" t="s">
        <v>29</v>
      </c>
      <c r="M4" s="116" t="s">
        <v>32</v>
      </c>
      <c r="N4" s="185" t="str">
        <f>IF(Q2="FCA","FCA",IF(Q2="CIF","CIF","FOB"))</f>
        <v>FOB</v>
      </c>
      <c r="O4" s="186" t="s">
        <v>33</v>
      </c>
      <c r="P4" s="186" t="s">
        <v>34</v>
      </c>
      <c r="Q4" s="186" t="s">
        <v>35</v>
      </c>
      <c r="R4" s="186" t="s">
        <v>36</v>
      </c>
      <c r="S4" s="187" t="s">
        <v>37</v>
      </c>
      <c r="T4" s="185" t="str">
        <f>IF(W2="FCA","FCA",IF(W2="CIF","CIF","FOB"))</f>
        <v>FOB</v>
      </c>
      <c r="U4" s="186" t="s">
        <v>33</v>
      </c>
      <c r="V4" s="186" t="s">
        <v>34</v>
      </c>
      <c r="W4" s="186" t="s">
        <v>35</v>
      </c>
      <c r="X4" s="186" t="s">
        <v>36</v>
      </c>
      <c r="Y4" s="187" t="s">
        <v>37</v>
      </c>
      <c r="Z4" s="185" t="str">
        <f>IF(AC2="FCA","FCA",IF(AC2="CIF","CIF","FOB"))</f>
        <v>CIF</v>
      </c>
      <c r="AA4" s="186" t="s">
        <v>33</v>
      </c>
      <c r="AB4" s="186" t="s">
        <v>34</v>
      </c>
      <c r="AC4" s="186" t="s">
        <v>35</v>
      </c>
      <c r="AD4" s="186" t="s">
        <v>36</v>
      </c>
      <c r="AE4" s="187" t="s">
        <v>37</v>
      </c>
      <c r="AF4" s="292"/>
      <c r="AG4" s="117" t="s">
        <v>38</v>
      </c>
      <c r="AH4" s="118" t="s">
        <v>39</v>
      </c>
      <c r="AI4" s="117" t="s">
        <v>40</v>
      </c>
      <c r="AJ4" s="117" t="s">
        <v>41</v>
      </c>
      <c r="AK4" s="118" t="s">
        <v>42</v>
      </c>
      <c r="AL4" s="118" t="s">
        <v>43</v>
      </c>
      <c r="AM4" s="152" t="s">
        <v>44</v>
      </c>
      <c r="AN4" s="119" t="s">
        <v>37</v>
      </c>
      <c r="AO4" s="119" t="s">
        <v>45</v>
      </c>
      <c r="AP4" s="119" t="s">
        <v>46</v>
      </c>
      <c r="AQ4" s="158" t="s">
        <v>47</v>
      </c>
      <c r="AR4" s="159" t="s">
        <v>48</v>
      </c>
      <c r="AS4" s="160" t="s">
        <v>49</v>
      </c>
      <c r="AT4" s="161" t="s">
        <v>50</v>
      </c>
      <c r="AU4" s="158" t="s">
        <v>51</v>
      </c>
      <c r="AV4" s="159" t="s">
        <v>52</v>
      </c>
      <c r="AW4" s="160" t="s">
        <v>53</v>
      </c>
      <c r="AX4" s="161" t="s">
        <v>54</v>
      </c>
      <c r="AY4" s="158" t="s">
        <v>55</v>
      </c>
      <c r="AZ4" s="159" t="s">
        <v>56</v>
      </c>
      <c r="BA4" s="160" t="s">
        <v>57</v>
      </c>
      <c r="BB4" s="161" t="s">
        <v>58</v>
      </c>
      <c r="BC4" s="120" t="str">
        <f>IF(BD2="FCA","FCA",IF(BD2="CIF","CIF","FOB"))</f>
        <v>CIF</v>
      </c>
      <c r="BD4" s="121" t="s">
        <v>33</v>
      </c>
      <c r="BE4" s="284"/>
      <c r="BF4" s="284"/>
      <c r="BG4" s="284"/>
    </row>
    <row r="5" spans="1:59" s="151" customFormat="1" ht="11" customHeight="1">
      <c r="A5" s="141"/>
      <c r="B5" s="141" t="s">
        <v>59</v>
      </c>
      <c r="C5" s="141"/>
      <c r="D5" s="142"/>
      <c r="E5" s="144"/>
      <c r="F5" s="144"/>
      <c r="G5" s="143"/>
      <c r="H5" s="143"/>
      <c r="I5" s="143"/>
      <c r="J5" s="143"/>
      <c r="K5" s="143"/>
      <c r="L5" s="143"/>
      <c r="M5" s="145"/>
      <c r="N5" s="146" t="s">
        <v>60</v>
      </c>
      <c r="O5" s="147"/>
      <c r="P5" s="147"/>
      <c r="Q5" s="147"/>
      <c r="R5" s="147"/>
      <c r="S5" s="148"/>
      <c r="T5" s="146" t="s">
        <v>60</v>
      </c>
      <c r="U5" s="147"/>
      <c r="V5" s="147"/>
      <c r="W5" s="147"/>
      <c r="X5" s="147"/>
      <c r="Y5" s="148"/>
      <c r="Z5" s="146" t="s">
        <v>60</v>
      </c>
      <c r="AA5" s="147"/>
      <c r="AB5" s="147"/>
      <c r="AC5" s="147"/>
      <c r="AD5" s="147"/>
      <c r="AE5" s="148"/>
      <c r="AF5" s="149"/>
      <c r="AG5" s="147"/>
      <c r="AH5" s="147"/>
      <c r="AI5" s="147"/>
      <c r="AJ5" s="143" t="e">
        <f t="array" ref="AJ5">INDEX($A5:S5,MATCH(AH5,$2:$2,0)-1)</f>
        <v>#N/A</v>
      </c>
      <c r="AK5" s="143"/>
      <c r="AL5" s="143"/>
      <c r="AM5" s="153" t="str">
        <f t="array" ref="AM5">IF(AL5="Y",INDEX($A5:S5,MATCH(AH5,$2:$2,0)+0),"")</f>
        <v/>
      </c>
      <c r="AN5" s="143" t="e">
        <f t="array" ref="AN5">INDEX($A5:S5,MATCH(AH5,$2:$2,0)+4)</f>
        <v>#N/A</v>
      </c>
      <c r="AO5" s="143"/>
      <c r="AP5" s="150"/>
      <c r="AQ5" s="147"/>
      <c r="AR5" s="143"/>
      <c r="AS5" s="147"/>
      <c r="AT5" s="143"/>
      <c r="AU5" s="147"/>
      <c r="AV5" s="143"/>
      <c r="AW5" s="147"/>
      <c r="AX5" s="143"/>
      <c r="AY5" s="147"/>
      <c r="AZ5" s="143"/>
      <c r="BA5" s="147"/>
      <c r="BB5" s="143"/>
      <c r="BC5" s="146"/>
      <c r="BD5" s="147"/>
      <c r="BE5" s="144"/>
      <c r="BF5" s="144"/>
      <c r="BG5" s="144"/>
    </row>
    <row r="6" spans="1:59" s="122" customFormat="1" ht="15" customHeight="1">
      <c r="A6" s="123" t="s">
        <v>61</v>
      </c>
      <c r="B6" s="123" t="s">
        <v>62</v>
      </c>
      <c r="C6" s="123" t="s">
        <v>63</v>
      </c>
      <c r="D6" s="123" t="s">
        <v>59</v>
      </c>
      <c r="E6" s="129">
        <v>0.28199999999999997</v>
      </c>
      <c r="F6" s="126">
        <v>0.2</v>
      </c>
      <c r="G6" s="124">
        <v>12000</v>
      </c>
      <c r="H6" s="125">
        <f>SUM(AQ6,AS6,AU6,AW6,AY6,BA6)</f>
        <v>60000</v>
      </c>
      <c r="I6" s="126">
        <v>8</v>
      </c>
      <c r="J6" s="127">
        <f>IFERROR((AQ6*AR6+AS6*AT6+AU6*AV6+AW6*AX6+AY6*AZ6+BA6*BB6)/H6,"")</f>
        <v>12.5</v>
      </c>
      <c r="K6" s="128">
        <f t="shared" ref="K6:L10" si="0">I6*$A$2</f>
        <v>4.4000000000000004</v>
      </c>
      <c r="L6" s="128">
        <f t="shared" si="0"/>
        <v>6.8750000000000009</v>
      </c>
      <c r="M6" s="130"/>
      <c r="N6" s="188">
        <v>3.5</v>
      </c>
      <c r="O6" s="189">
        <v>3</v>
      </c>
      <c r="P6" s="190">
        <f>IF(Q$2="First Sale",(N6-O6)/O6,"n/a")</f>
        <v>0.16666666666666666</v>
      </c>
      <c r="Q6" s="191">
        <f>MROUND(IF(OR(Q$2="DUTY FREE",Q$2="CPTPP"),Q$3*N6,IF(Q$2="FCA",0,IF(Q$2="CIF",(Q$3*N6),IF(Q$2="FIRST SALE",(($E6+Q$3)*O6),IF(Q$2="FOB",($E6+Q$3)*N6,"ERROR"))))),0.01)</f>
        <v>1.42</v>
      </c>
      <c r="R6" s="191">
        <f>MROUND(IF(OR(Q$2="FCA",Q$2="CIF"),0,IF($A$3="USA",VLOOKUP(N$3,Internal!$B$1:$E$17,3,0),IF($A$3="CANADA",VLOOKUP(N$3,Internal!$B$1:$E$17,4,0)))*$F6+$F6),0.01)</f>
        <v>0.5</v>
      </c>
      <c r="S6" s="192">
        <f>N6+Q6+R6+$M6</f>
        <v>5.42</v>
      </c>
      <c r="T6" s="188">
        <v>3.75</v>
      </c>
      <c r="U6" s="189"/>
      <c r="V6" s="190" t="str">
        <f>IF(W$2="First Sale",(T6-U6)/U6,"n/a")</f>
        <v>n/a</v>
      </c>
      <c r="W6" s="191">
        <f>MROUND(IF(OR(W$2="DUTY FREE",W$2="CPTPP"),W$3*T6,IF(W$2="FCA",0,IF(W$2="CIF",(W$3*T6),IF(W$2="FIRST SALE",(($E6+W$3)*U6),IF(W$2="FOB",($E6+W$3)*T6,"ERROR"))))),0.01)</f>
        <v>1.77</v>
      </c>
      <c r="X6" s="191">
        <f>MROUND(IF(OR(W$2="FCA",W$2="CIF"),0,IF($A$3="USA",VLOOKUP(T$3,Internal!$B$1:$E$17,3,0),IF($A$3="CANADA",VLOOKUP(T$3,Internal!$B$1:$E$17,4,0)))*$F6+$F6),0.01)</f>
        <v>0.5</v>
      </c>
      <c r="Y6" s="192">
        <f>T6+W6+X6+$M6</f>
        <v>6.02</v>
      </c>
      <c r="Z6" s="188">
        <v>4.25</v>
      </c>
      <c r="AA6" s="189"/>
      <c r="AB6" s="190" t="str">
        <f>IF(AC$2="First Sale",(Z6-AA6)/AA6,"n/a")</f>
        <v>n/a</v>
      </c>
      <c r="AC6" s="191">
        <f>MROUND(IF(OR(AC$2="DUTY FREE",AC$2="CPTPP"),AC$3*Z6,IF(AC$2="FCA",0,IF(AC$2="CIF",(AC$3*Z6),IF(AC$2="FIRST SALE",(($E6+AC$3)*AA6),IF(AC$2="FOB",($E6+AC$3)*Z6,"ERROR"))))),0.01)</f>
        <v>0.64</v>
      </c>
      <c r="AD6" s="191">
        <f>MROUND(IF(OR(AC$2="FCA",AC$2="CIF"),0,IF($A$3="USA",VLOOKUP(Z$3,Internal!$B$1:$E$17,3,0),IF($A$3="CANADA",VLOOKUP(Z$3,Internal!$B$1:$E$17,4,0)))*$F6+$F6),0.01)</f>
        <v>0</v>
      </c>
      <c r="AE6" s="192">
        <f>Z6+AC6+AD6+$M6</f>
        <v>4.8899999999999997</v>
      </c>
      <c r="AF6" s="131"/>
      <c r="AG6" s="132" t="str">
        <f>IF(ISBLANK(A6),"",A6)</f>
        <v>HEW243TL01C</v>
      </c>
      <c r="AH6" s="132" t="s">
        <v>64</v>
      </c>
      <c r="AI6" s="133">
        <f>IF(ISBLANK(H6),"",H6)</f>
        <v>60000</v>
      </c>
      <c r="AJ6" s="134">
        <f>INDEX($A6:AE6,MATCH(AH6,$2:$2,0))</f>
        <v>3.75</v>
      </c>
      <c r="AK6" s="132"/>
      <c r="AL6" s="132"/>
      <c r="AM6" s="154" t="str">
        <f t="array" ref="AM6">IF(AL6="Y",INDEX($A6:AE6,MATCH(AH6,$2:$2,0)+1),"")</f>
        <v/>
      </c>
      <c r="AN6" s="135">
        <f t="array" ref="AN6">INDEX($A6:AE6,MATCH(AH6,$2:$2,0)+5)</f>
        <v>6.02</v>
      </c>
      <c r="AO6" s="136">
        <f>IFERROR(($I6-AN6)/$I6,"")</f>
        <v>0.24750000000000005</v>
      </c>
      <c r="AP6" s="136">
        <f>IFERROR(($J6-AN6)/$J6,"")</f>
        <v>0.51840000000000008</v>
      </c>
      <c r="AQ6" s="162">
        <v>10000</v>
      </c>
      <c r="AR6" s="163">
        <v>12</v>
      </c>
      <c r="AS6" s="164">
        <v>10000</v>
      </c>
      <c r="AT6" s="165">
        <v>15</v>
      </c>
      <c r="AU6" s="162">
        <v>10000</v>
      </c>
      <c r="AV6" s="163">
        <v>20</v>
      </c>
      <c r="AW6" s="164">
        <v>10000</v>
      </c>
      <c r="AX6" s="165">
        <v>8</v>
      </c>
      <c r="AY6" s="162">
        <v>10000</v>
      </c>
      <c r="AZ6" s="163">
        <v>10</v>
      </c>
      <c r="BA6" s="164">
        <v>10000</v>
      </c>
      <c r="BB6" s="165">
        <v>10</v>
      </c>
      <c r="BC6" s="137"/>
      <c r="BD6" s="138"/>
      <c r="BE6" s="168" t="s">
        <v>65</v>
      </c>
      <c r="BF6" s="140"/>
      <c r="BG6" s="140"/>
    </row>
    <row r="7" spans="1:59" s="122" customFormat="1" ht="15" customHeight="1">
      <c r="A7" s="123" t="s">
        <v>61</v>
      </c>
      <c r="B7" s="123" t="s">
        <v>66</v>
      </c>
      <c r="C7" s="123" t="s">
        <v>63</v>
      </c>
      <c r="D7" s="123" t="s">
        <v>59</v>
      </c>
      <c r="E7" s="129">
        <v>0.1</v>
      </c>
      <c r="F7" s="126">
        <v>0.1</v>
      </c>
      <c r="G7" s="124">
        <v>12000</v>
      </c>
      <c r="H7" s="125">
        <f>SUM(AQ7,AS7,AU7,AW7,AY7,BA7)</f>
        <v>60000</v>
      </c>
      <c r="I7" s="126">
        <v>8</v>
      </c>
      <c r="J7" s="127">
        <f>IFERROR((AQ7*AR7+AS7*AT7+AU7*AV7+AW7*AX7+AY7*AZ7+BA7*BB7)/H7,"")</f>
        <v>12.5</v>
      </c>
      <c r="K7" s="128">
        <f t="shared" si="0"/>
        <v>4.4000000000000004</v>
      </c>
      <c r="L7" s="128">
        <f t="shared" si="0"/>
        <v>6.8750000000000009</v>
      </c>
      <c r="M7" s="130"/>
      <c r="N7" s="188">
        <v>1</v>
      </c>
      <c r="O7" s="189">
        <v>3</v>
      </c>
      <c r="P7" s="190">
        <f>IF(Q$2="First Sale",(N7-O7)/O7,"n/a")</f>
        <v>-0.66666666666666663</v>
      </c>
      <c r="Q7" s="191">
        <f>MROUND(IF(OR(Q$2="DUTY FREE",Q$2="CPTPP"),Q$3*N7,IF(Q$2="FCA",0,IF(Q$2="CIF",(Q$3*N7),IF(Q$2="FIRST SALE",(($E7+Q$3)*O7),IF(Q$2="FOB",($E7+Q$3)*N7,"ERROR"))))),0.01)</f>
        <v>0.87</v>
      </c>
      <c r="R7" s="191">
        <f>MROUND(IF(OR(Q$2="FCA",Q$2="CIF"),0,IF($A$3="USA",VLOOKUP(N$3,Internal!$B$1:$E$17,3,0),IF($A$3="CANADA",VLOOKUP(N$3,Internal!$B$1:$E$17,4,0)))*$F7+$F7),0.01)</f>
        <v>0.25</v>
      </c>
      <c r="S7" s="192">
        <f>N7+Q7+R7+$M7</f>
        <v>2.12</v>
      </c>
      <c r="T7" s="188">
        <v>3.75</v>
      </c>
      <c r="U7" s="189"/>
      <c r="V7" s="190" t="str">
        <f>IF(W$2="First Sale",(T7-U7)/U7,"n/a")</f>
        <v>n/a</v>
      </c>
      <c r="W7" s="191">
        <f>MROUND(IF(OR(W$2="DUTY FREE",W$2="CPTPP"),W$3*T7,IF(W$2="FCA",0,IF(W$2="CIF",(W$3*T7),IF(W$2="FIRST SALE",(($E7+W$3)*U7),IF(W$2="FOB",($E7+W$3)*T7,"ERROR"))))),0.01)</f>
        <v>1.0900000000000001</v>
      </c>
      <c r="X7" s="191">
        <f>MROUND(IF(OR(W$2="FCA",W$2="CIF"),0,IF($A$3="USA",VLOOKUP(T$3,Internal!$B$1:$E$17,3,0),IF($A$3="CANADA",VLOOKUP(T$3,Internal!$B$1:$E$17,4,0)))*$F7+$F7),0.01)</f>
        <v>0.25</v>
      </c>
      <c r="Y7" s="192">
        <f>T7+W7+X7+$M7</f>
        <v>5.09</v>
      </c>
      <c r="Z7" s="188">
        <v>4.25</v>
      </c>
      <c r="AA7" s="189"/>
      <c r="AB7" s="190" t="str">
        <f>IF(AC$2="First Sale",(Z7-AA7)/AA7,"n/a")</f>
        <v>n/a</v>
      </c>
      <c r="AC7" s="191">
        <f>MROUND(IF(OR(AC$2="DUTY FREE",AC$2="CPTPP"),AC$3*Z7,IF(AC$2="FCA",0,IF(AC$2="CIF",(AC$3*Z7),IF(AC$2="FIRST SALE",(($E7+AC$3)*AA7),IF(AC$2="FOB",($E7+AC$3)*Z7,"ERROR"))))),0.01)</f>
        <v>0.64</v>
      </c>
      <c r="AD7" s="191">
        <f>MROUND(IF(OR(AC$2="FCA",AC$2="CIF"),0,IF($A$3="USA",VLOOKUP(Z$3,Internal!$B$1:$E$17,3,0),IF($A$3="CANADA",VLOOKUP(Z$3,Internal!$B$1:$E$17,4,0)))*$F7+$F7),0.01)</f>
        <v>0</v>
      </c>
      <c r="AE7" s="192">
        <f>Z7+AC7+AD7+$M7</f>
        <v>4.8899999999999997</v>
      </c>
      <c r="AF7" s="131"/>
      <c r="AG7" s="132" t="str">
        <f>IF(ISBLANK(A7),"",A7)</f>
        <v>HEW243TL01C</v>
      </c>
      <c r="AH7" s="132" t="s">
        <v>64</v>
      </c>
      <c r="AI7" s="133">
        <f>IF(ISBLANK(H7),"",H7)</f>
        <v>60000</v>
      </c>
      <c r="AJ7" s="134">
        <f>INDEX($A7:AE7,MATCH(AH7,$2:$2,0))</f>
        <v>3.75</v>
      </c>
      <c r="AK7" s="132"/>
      <c r="AL7" s="132"/>
      <c r="AM7" s="154" t="str">
        <f t="array" ref="AM7">IF(AL7="Y",INDEX($A7:AE7,MATCH(AH7,$2:$2,0)+1),"")</f>
        <v/>
      </c>
      <c r="AN7" s="135">
        <f t="array" ref="AN7">INDEX($A7:AE7,MATCH(AH7,$2:$2,0)+5)</f>
        <v>5.09</v>
      </c>
      <c r="AO7" s="136">
        <f>IFERROR(($I7-AN7)/$I7,"")</f>
        <v>0.36375000000000002</v>
      </c>
      <c r="AP7" s="136">
        <f>IFERROR(($J7-AN7)/$J7,"")</f>
        <v>0.59279999999999999</v>
      </c>
      <c r="AQ7" s="162">
        <v>10000</v>
      </c>
      <c r="AR7" s="163">
        <v>12</v>
      </c>
      <c r="AS7" s="166">
        <v>10000</v>
      </c>
      <c r="AT7" s="167">
        <v>15</v>
      </c>
      <c r="AU7" s="162">
        <v>10000</v>
      </c>
      <c r="AV7" s="163">
        <v>20</v>
      </c>
      <c r="AW7" s="166">
        <v>10000</v>
      </c>
      <c r="AX7" s="167">
        <v>8</v>
      </c>
      <c r="AY7" s="162">
        <v>10000</v>
      </c>
      <c r="AZ7" s="163">
        <v>10</v>
      </c>
      <c r="BA7" s="166">
        <v>10000</v>
      </c>
      <c r="BB7" s="167">
        <v>10</v>
      </c>
      <c r="BC7" s="137"/>
      <c r="BD7" s="138"/>
      <c r="BE7" s="168" t="s">
        <v>65</v>
      </c>
      <c r="BF7" s="140"/>
      <c r="BG7" s="140"/>
    </row>
    <row r="8" spans="1:59" s="122" customFormat="1" ht="15" customHeight="1">
      <c r="A8" s="123" t="s">
        <v>61</v>
      </c>
      <c r="B8" s="123" t="s">
        <v>67</v>
      </c>
      <c r="C8" s="123" t="s">
        <v>63</v>
      </c>
      <c r="D8" s="123" t="s">
        <v>59</v>
      </c>
      <c r="E8" s="129">
        <v>0.18</v>
      </c>
      <c r="F8" s="126">
        <v>0.1</v>
      </c>
      <c r="G8" s="124">
        <v>12000</v>
      </c>
      <c r="H8" s="125">
        <f>SUM(AQ8,AS8,AU8,AW8,AY8,BA8)</f>
        <v>60000</v>
      </c>
      <c r="I8" s="126">
        <v>8</v>
      </c>
      <c r="J8" s="127">
        <f>IFERROR((AQ8*AR8+AS8*AT8+AU8*AV8+AW8*AX8+AY8*AZ8+BA8*BB8)/H8,"")</f>
        <v>12.5</v>
      </c>
      <c r="K8" s="128">
        <f t="shared" si="0"/>
        <v>4.4000000000000004</v>
      </c>
      <c r="L8" s="128">
        <f t="shared" si="0"/>
        <v>6.8750000000000009</v>
      </c>
      <c r="M8" s="130"/>
      <c r="N8" s="188">
        <v>2.5</v>
      </c>
      <c r="O8" s="189">
        <v>3</v>
      </c>
      <c r="P8" s="190">
        <f>IF(Q$2="First Sale",(N8-O8)/O8,"n/a")</f>
        <v>-0.16666666666666666</v>
      </c>
      <c r="Q8" s="191">
        <f>MROUND(IF(OR(Q$2="DUTY FREE",Q$2="CPTPP"),Q$3*N8,IF(Q$2="FCA",0,IF(Q$2="CIF",(Q$3*N8),IF(Q$2="FIRST SALE",(($E8+Q$3)*O8),IF(Q$2="FOB",($E8+Q$3)*N8,"ERROR"))))),0.01)</f>
        <v>1.1100000000000001</v>
      </c>
      <c r="R8" s="191">
        <f>MROUND(IF(OR(Q$2="FCA",Q$2="CIF"),0,IF($A$3="USA",VLOOKUP(N$3,Internal!$B$1:$E$17,3,0),IF($A$3="CANADA",VLOOKUP(N$3,Internal!$B$1:$E$17,4,0)))*$F8+$F8),0.01)</f>
        <v>0.25</v>
      </c>
      <c r="S8" s="192">
        <f>N8+Q8+R8+$M8</f>
        <v>3.8600000000000003</v>
      </c>
      <c r="T8" s="188">
        <v>3.75</v>
      </c>
      <c r="U8" s="189"/>
      <c r="V8" s="190" t="str">
        <f>IF(W$2="First Sale",(T8-U8)/U8,"n/a")</f>
        <v>n/a</v>
      </c>
      <c r="W8" s="191">
        <f>MROUND(IF(OR(W$2="DUTY FREE",W$2="CPTPP"),W$3*T8,IF(W$2="FCA",0,IF(W$2="CIF",(W$3*T8),IF(W$2="FIRST SALE",(($E8+W$3)*U8),IF(W$2="FOB",($E8+W$3)*T8,"ERROR"))))),0.01)</f>
        <v>1.3900000000000001</v>
      </c>
      <c r="X8" s="191">
        <f>MROUND(IF(OR(W$2="FCA",W$2="CIF"),0,IF($A$3="USA",VLOOKUP(T$3,Internal!$B$1:$E$17,3,0),IF($A$3="CANADA",VLOOKUP(T$3,Internal!$B$1:$E$17,4,0)))*$F8+$F8),0.01)</f>
        <v>0.25</v>
      </c>
      <c r="Y8" s="192">
        <f>T8+W8+X8+$M8</f>
        <v>5.3900000000000006</v>
      </c>
      <c r="Z8" s="188">
        <v>4.25</v>
      </c>
      <c r="AA8" s="189"/>
      <c r="AB8" s="190" t="str">
        <f>IF(AC$2="First Sale",(Z8-AA8)/AA8,"n/a")</f>
        <v>n/a</v>
      </c>
      <c r="AC8" s="191">
        <f>MROUND(IF(OR(AC$2="DUTY FREE",AC$2="CPTPP"),AC$3*Z8,IF(AC$2="FCA",0,IF(AC$2="CIF",(AC$3*Z8),IF(AC$2="FIRST SALE",(($E8+AC$3)*AA8),IF(AC$2="FOB",($E8+AC$3)*Z8,"ERROR"))))),0.01)</f>
        <v>0.64</v>
      </c>
      <c r="AD8" s="191">
        <f>MROUND(IF(OR(AC$2="FCA",AC$2="CIF"),0,IF($A$3="USA",VLOOKUP(Z$3,Internal!$B$1:$E$17,3,0),IF($A$3="CANADA",VLOOKUP(Z$3,Internal!$B$1:$E$17,4,0)))*$F8+$F8),0.01)</f>
        <v>0</v>
      </c>
      <c r="AE8" s="192">
        <f>Z8+AC8+AD8+$M8</f>
        <v>4.8899999999999997</v>
      </c>
      <c r="AF8" s="131"/>
      <c r="AG8" s="132" t="str">
        <f>IF(ISBLANK(A8),"",A8)</f>
        <v>HEW243TL01C</v>
      </c>
      <c r="AH8" s="132" t="s">
        <v>64</v>
      </c>
      <c r="AI8" s="133">
        <f>IF(ISBLANK(H8),"",H8)</f>
        <v>60000</v>
      </c>
      <c r="AJ8" s="134">
        <f>INDEX($A8:AE8,MATCH(AH8,$2:$2,0))</f>
        <v>3.75</v>
      </c>
      <c r="AK8" s="132"/>
      <c r="AL8" s="132"/>
      <c r="AM8" s="154" t="str">
        <f t="array" ref="AM8">IF(AL8="Y",INDEX($A8:AE8,MATCH(AH8,$2:$2,0)+1),"")</f>
        <v/>
      </c>
      <c r="AN8" s="135">
        <f t="array" ref="AN8">INDEX($A8:AE8,MATCH(AH8,$2:$2,0)+5)</f>
        <v>5.3900000000000006</v>
      </c>
      <c r="AO8" s="136">
        <f>IFERROR(($I8-AN8)/$I8,"")</f>
        <v>0.32624999999999993</v>
      </c>
      <c r="AP8" s="136">
        <f>IFERROR(($J8-AN8)/$J8,"")</f>
        <v>0.56879999999999997</v>
      </c>
      <c r="AQ8" s="162">
        <v>10000</v>
      </c>
      <c r="AR8" s="163">
        <v>12</v>
      </c>
      <c r="AS8" s="166">
        <v>10000</v>
      </c>
      <c r="AT8" s="167">
        <v>15</v>
      </c>
      <c r="AU8" s="162">
        <v>10000</v>
      </c>
      <c r="AV8" s="163">
        <v>20</v>
      </c>
      <c r="AW8" s="166">
        <v>10000</v>
      </c>
      <c r="AX8" s="167">
        <v>8</v>
      </c>
      <c r="AY8" s="162">
        <v>10000</v>
      </c>
      <c r="AZ8" s="163">
        <v>10</v>
      </c>
      <c r="BA8" s="166">
        <v>10000</v>
      </c>
      <c r="BB8" s="167">
        <v>10</v>
      </c>
      <c r="BC8" s="137"/>
      <c r="BD8" s="138"/>
      <c r="BE8" s="168" t="s">
        <v>65</v>
      </c>
      <c r="BF8" s="140"/>
      <c r="BG8" s="140"/>
    </row>
    <row r="9" spans="1:59" s="122" customFormat="1" ht="15" customHeight="1">
      <c r="A9" s="123" t="s">
        <v>68</v>
      </c>
      <c r="B9" s="123" t="s">
        <v>69</v>
      </c>
      <c r="C9" s="123" t="s">
        <v>70</v>
      </c>
      <c r="D9" s="123" t="s">
        <v>59</v>
      </c>
      <c r="E9" s="129">
        <v>0.28199999999999997</v>
      </c>
      <c r="F9" s="126">
        <v>0.1</v>
      </c>
      <c r="G9" s="124">
        <v>12000</v>
      </c>
      <c r="H9" s="125">
        <f>SUM(AQ9,AS9,AU9,AW9,AY9,BA9)</f>
        <v>65500</v>
      </c>
      <c r="I9" s="126">
        <v>10</v>
      </c>
      <c r="J9" s="127">
        <f>IFERROR((AQ9*AR9+AS9*AT9+AU9*AV9+AW9*AX9+AY9*AZ9+BA9*BB9)/H9,"")</f>
        <v>12</v>
      </c>
      <c r="K9" s="128">
        <f t="shared" si="0"/>
        <v>5.5</v>
      </c>
      <c r="L9" s="128">
        <f t="shared" si="0"/>
        <v>6.6000000000000005</v>
      </c>
      <c r="M9" s="130"/>
      <c r="N9" s="188">
        <v>4</v>
      </c>
      <c r="O9" s="189">
        <v>3.5</v>
      </c>
      <c r="P9" s="190">
        <f>IF(Q$2="First Sale",(N9-O9)/O9,"n/a")</f>
        <v>0.14285714285714285</v>
      </c>
      <c r="Q9" s="191">
        <f>MROUND(IF(OR(Q$2="DUTY FREE",Q$2="CPTPP"),Q$3*N9,IF(Q$2="FCA",0,IF(Q$2="CIF",(Q$3*N9),IF(Q$2="FIRST SALE",(($E9+Q$3)*O9),IF(Q$2="FOB",($E9+Q$3)*N9,"ERROR"))))),0.01)</f>
        <v>1.6500000000000001</v>
      </c>
      <c r="R9" s="191">
        <f>MROUND(IF(OR(Q$2="FCA",Q$2="CIF"),0,IF($A$3="USA",VLOOKUP(N$3,Internal!$B$1:$E$17,3,0),IF($A$3="CANADA",VLOOKUP(N$3,Internal!$B$1:$E$17,4,0)))*$F9+$F9),0.01)</f>
        <v>0.25</v>
      </c>
      <c r="S9" s="192">
        <f>N9+Q9+R9+$M9</f>
        <v>5.9</v>
      </c>
      <c r="T9" s="188">
        <v>4.25</v>
      </c>
      <c r="U9" s="189"/>
      <c r="V9" s="190" t="str">
        <f>IF(W$2="First Sale",(T9-U9)/U9,"n/a")</f>
        <v>n/a</v>
      </c>
      <c r="W9" s="191">
        <f>MROUND(IF(OR(W$2="DUTY FREE",W$2="CPTPP"),W$3*T9,IF(W$2="FCA",0,IF(W$2="CIF",(W$3*T9),IF(W$2="FIRST SALE",(($E9+W$3)*U9),IF(W$2="FOB",($E9+W$3)*T9,"ERROR"))))),0.01)</f>
        <v>2.0100000000000002</v>
      </c>
      <c r="X9" s="191">
        <f>MROUND(IF(OR(W$2="FCA",W$2="CIF"),0,IF($A$3="USA",VLOOKUP(T$3,Internal!$B$1:$E$17,3,0),IF($A$3="CANADA",VLOOKUP(T$3,Internal!$B$1:$E$17,4,0)))*$F9+$F9),0.01)</f>
        <v>0.25</v>
      </c>
      <c r="Y9" s="192">
        <f>T9+W9+X9+$M9</f>
        <v>6.51</v>
      </c>
      <c r="Z9" s="188">
        <v>4.5</v>
      </c>
      <c r="AA9" s="189"/>
      <c r="AB9" s="190" t="str">
        <f>IF(AC$2="First Sale",(Z9-AA9)/AA9,"n/a")</f>
        <v>n/a</v>
      </c>
      <c r="AC9" s="191">
        <f>MROUND(IF(OR(AC$2="DUTY FREE",AC$2="CPTPP"),AC$3*Z9,IF(AC$2="FCA",0,IF(AC$2="CIF",(AC$3*Z9),IF(AC$2="FIRST SALE",(($E9+AC$3)*AA9),IF(AC$2="FOB",($E9+AC$3)*Z9,"ERROR"))))),0.01)</f>
        <v>0.67</v>
      </c>
      <c r="AD9" s="191">
        <f>MROUND(IF(OR(AC$2="FCA",AC$2="CIF"),0,IF($A$3="USA",VLOOKUP(Z$3,Internal!$B$1:$E$17,3,0),IF($A$3="CANADA",VLOOKUP(Z$3,Internal!$B$1:$E$17,4,0)))*$F9+$F9),0.01)</f>
        <v>0</v>
      </c>
      <c r="AE9" s="192">
        <f>Z9+AC9+AD9+$M9</f>
        <v>5.17</v>
      </c>
      <c r="AF9" s="131"/>
      <c r="AG9" s="132" t="str">
        <f>IF(ISBLANK(A9),"",A9)</f>
        <v>CPM253FC07</v>
      </c>
      <c r="AH9" s="132" t="s">
        <v>64</v>
      </c>
      <c r="AI9" s="133">
        <f>IF(ISBLANK(H9),"",H9)</f>
        <v>65500</v>
      </c>
      <c r="AJ9" s="134">
        <f>INDEX($A9:AE9,MATCH(AH9,$2:$2,0))</f>
        <v>4.25</v>
      </c>
      <c r="AK9" s="132"/>
      <c r="AL9" s="132"/>
      <c r="AM9" s="154" t="str">
        <f t="array" ref="AM9">IF(AL9="Y",INDEX($A9:AE9,MATCH(AH9,$2:$2,0)+1),"")</f>
        <v/>
      </c>
      <c r="AN9" s="135">
        <f t="array" ref="AN9">INDEX($A9:AE9,MATCH(AH9,$2:$2,0)+5)</f>
        <v>6.51</v>
      </c>
      <c r="AO9" s="136">
        <f>IFERROR(($I9-AN9)/$I9,"")</f>
        <v>0.34900000000000003</v>
      </c>
      <c r="AP9" s="136">
        <f>IFERROR(($J9-AN9)/$J9,"")</f>
        <v>0.45750000000000002</v>
      </c>
      <c r="AQ9" s="162">
        <v>15500</v>
      </c>
      <c r="AR9" s="163">
        <v>12</v>
      </c>
      <c r="AS9" s="166">
        <v>10000</v>
      </c>
      <c r="AT9" s="167">
        <v>12</v>
      </c>
      <c r="AU9" s="162">
        <v>10000</v>
      </c>
      <c r="AV9" s="163">
        <v>12</v>
      </c>
      <c r="AW9" s="166">
        <v>10000</v>
      </c>
      <c r="AX9" s="167">
        <v>12</v>
      </c>
      <c r="AY9" s="162">
        <v>10000</v>
      </c>
      <c r="AZ9" s="163">
        <v>12</v>
      </c>
      <c r="BA9" s="166">
        <v>10000</v>
      </c>
      <c r="BB9" s="167">
        <v>12</v>
      </c>
      <c r="BC9" s="137"/>
      <c r="BD9" s="138"/>
      <c r="BE9" s="168" t="s">
        <v>65</v>
      </c>
      <c r="BF9" s="140"/>
      <c r="BG9" s="140"/>
    </row>
    <row r="10" spans="1:59" s="122" customFormat="1" ht="15" customHeight="1">
      <c r="A10" s="123" t="s">
        <v>68</v>
      </c>
      <c r="B10" s="123" t="s">
        <v>71</v>
      </c>
      <c r="C10" s="123" t="s">
        <v>70</v>
      </c>
      <c r="D10" s="123" t="s">
        <v>59</v>
      </c>
      <c r="E10" s="129">
        <v>0.28199999999999997</v>
      </c>
      <c r="F10" s="126">
        <v>0.1</v>
      </c>
      <c r="G10" s="124">
        <v>12000</v>
      </c>
      <c r="H10" s="125">
        <f>SUM(AQ10,AS10,AU10,AW10,AY10,BA10)</f>
        <v>65500</v>
      </c>
      <c r="I10" s="126">
        <v>10</v>
      </c>
      <c r="J10" s="127">
        <f>IFERROR((AQ10*AR10+AS10*AT10+AU10*AV10+AW10*AX10+AY10*AZ10+BA10*BB10)/H10,"")</f>
        <v>12</v>
      </c>
      <c r="K10" s="128">
        <f t="shared" si="0"/>
        <v>5.5</v>
      </c>
      <c r="L10" s="128">
        <f t="shared" si="0"/>
        <v>6.6000000000000005</v>
      </c>
      <c r="M10" s="130"/>
      <c r="N10" s="188">
        <v>4</v>
      </c>
      <c r="O10" s="189">
        <v>3.5</v>
      </c>
      <c r="P10" s="190">
        <f>IF(Q$2="First Sale",(N10-O10)/O10,"n/a")</f>
        <v>0.14285714285714285</v>
      </c>
      <c r="Q10" s="191">
        <f>MROUND(IF(OR(Q$2="DUTY FREE",Q$2="CPTPP"),Q$3*N10,IF(Q$2="FCA",0,IF(Q$2="CIF",(Q$3*N10),IF(Q$2="FIRST SALE",(($E10+Q$3)*O10),IF(Q$2="FOB",($E10+Q$3)*N10,"ERROR"))))),0.01)</f>
        <v>1.6500000000000001</v>
      </c>
      <c r="R10" s="191">
        <f>MROUND(IF(OR(Q$2="FCA",Q$2="CIF"),0,IF($A$3="USA",VLOOKUP(N$3,Internal!$B$1:$E$17,3,0),IF($A$3="CANADA",VLOOKUP(N$3,Internal!$B$1:$E$17,4,0)))*$F10+$F10),0.01)</f>
        <v>0.25</v>
      </c>
      <c r="S10" s="192">
        <f>N10+Q10+R10+$M10</f>
        <v>5.9</v>
      </c>
      <c r="T10" s="188">
        <v>4.25</v>
      </c>
      <c r="U10" s="189"/>
      <c r="V10" s="190" t="str">
        <f>IF(W$2="First Sale",(T10-U10)/U10,"n/a")</f>
        <v>n/a</v>
      </c>
      <c r="W10" s="191">
        <f>MROUND(IF(OR(W$2="DUTY FREE",W$2="CPTPP"),W$3*T10,IF(W$2="FCA",0,IF(W$2="CIF",(W$3*T10),IF(W$2="FIRST SALE",(($E10+W$3)*U10),IF(W$2="FOB",($E10+W$3)*T10,"ERROR"))))),0.01)</f>
        <v>2.0100000000000002</v>
      </c>
      <c r="X10" s="191">
        <f>MROUND(IF(OR(W$2="FCA",W$2="CIF"),0,IF($A$3="USA",VLOOKUP(T$3,Internal!$B$1:$E$17,3,0),IF($A$3="CANADA",VLOOKUP(T$3,Internal!$B$1:$E$17,4,0)))*$F10+$F10),0.01)</f>
        <v>0.25</v>
      </c>
      <c r="Y10" s="192">
        <f>T10+W10+X10+$M10</f>
        <v>6.51</v>
      </c>
      <c r="Z10" s="188">
        <v>4.5</v>
      </c>
      <c r="AA10" s="189"/>
      <c r="AB10" s="190" t="str">
        <f>IF(AC$2="First Sale",(Z10-AA10)/AA10,"n/a")</f>
        <v>n/a</v>
      </c>
      <c r="AC10" s="191">
        <f>MROUND(IF(OR(AC$2="DUTY FREE",AC$2="CPTPP"),AC$3*Z10,IF(AC$2="FCA",0,IF(AC$2="CIF",(AC$3*Z10),IF(AC$2="FIRST SALE",(($E10+AC$3)*AA10),IF(AC$2="FOB",($E10+AC$3)*Z10,"ERROR"))))),0.01)</f>
        <v>0.67</v>
      </c>
      <c r="AD10" s="191">
        <f>MROUND(IF(OR(AC$2="FCA",AC$2="CIF"),0,IF($A$3="USA",VLOOKUP(Z$3,Internal!$B$1:$E$17,3,0),IF($A$3="CANADA",VLOOKUP(Z$3,Internal!$B$1:$E$17,4,0)))*$F10+$F10),0.01)</f>
        <v>0</v>
      </c>
      <c r="AE10" s="192">
        <f>Z10+AC10+AD10+$M10</f>
        <v>5.17</v>
      </c>
      <c r="AF10" s="131"/>
      <c r="AG10" s="132" t="str">
        <f>IF(ISBLANK(A10),"",A10)</f>
        <v>CPM253FC07</v>
      </c>
      <c r="AH10" s="132" t="s">
        <v>72</v>
      </c>
      <c r="AI10" s="133">
        <f>IF(ISBLANK(H10),"",H10)</f>
        <v>65500</v>
      </c>
      <c r="AJ10" s="134">
        <f>INDEX($A10:AE10,MATCH(AH10,$2:$2,0))</f>
        <v>4.5</v>
      </c>
      <c r="AK10" s="132"/>
      <c r="AL10" s="132"/>
      <c r="AM10" s="154" t="str">
        <f t="array" ref="AM10">IF(AL10="Y",INDEX($A10:AE10,MATCH(AH10,$2:$2,0)+1),"")</f>
        <v/>
      </c>
      <c r="AN10" s="135">
        <f t="array" ref="AN10">INDEX($A10:AE10,MATCH(AH10,$2:$2,0)+5)</f>
        <v>5.17</v>
      </c>
      <c r="AO10" s="136">
        <f>IFERROR(($I10-AN10)/$I10,"")</f>
        <v>0.48299999999999998</v>
      </c>
      <c r="AP10" s="136">
        <f>IFERROR(($J10-AN10)/$J10,"")</f>
        <v>0.56916666666666671</v>
      </c>
      <c r="AQ10" s="162">
        <v>15500</v>
      </c>
      <c r="AR10" s="163">
        <v>12</v>
      </c>
      <c r="AS10" s="166">
        <v>10000</v>
      </c>
      <c r="AT10" s="167">
        <v>12</v>
      </c>
      <c r="AU10" s="162">
        <v>10000</v>
      </c>
      <c r="AV10" s="163">
        <v>12</v>
      </c>
      <c r="AW10" s="166">
        <v>10000</v>
      </c>
      <c r="AX10" s="167">
        <v>12</v>
      </c>
      <c r="AY10" s="162">
        <v>10000</v>
      </c>
      <c r="AZ10" s="163">
        <v>12</v>
      </c>
      <c r="BA10" s="166">
        <v>10000</v>
      </c>
      <c r="BB10" s="167">
        <v>12</v>
      </c>
      <c r="BC10" s="137"/>
      <c r="BD10" s="138"/>
      <c r="BE10" s="168" t="s">
        <v>65</v>
      </c>
      <c r="BF10" s="140"/>
      <c r="BG10" s="140"/>
    </row>
    <row r="11" spans="1:59" s="151" customFormat="1" ht="11" customHeight="1">
      <c r="A11" s="141"/>
      <c r="B11" s="141" t="s">
        <v>73</v>
      </c>
      <c r="C11" s="141"/>
      <c r="D11" s="142"/>
      <c r="E11" s="144"/>
      <c r="F11" s="144"/>
      <c r="G11" s="143"/>
      <c r="H11" s="143"/>
      <c r="I11" s="143"/>
      <c r="J11" s="143"/>
      <c r="K11" s="143"/>
      <c r="L11" s="143"/>
      <c r="M11" s="145"/>
      <c r="N11" s="146" t="s">
        <v>60</v>
      </c>
      <c r="O11" s="147"/>
      <c r="P11" s="147"/>
      <c r="Q11" s="147"/>
      <c r="R11" s="147"/>
      <c r="S11" s="148"/>
      <c r="T11" s="146" t="s">
        <v>60</v>
      </c>
      <c r="U11" s="147"/>
      <c r="V11" s="147"/>
      <c r="W11" s="147"/>
      <c r="X11" s="147"/>
      <c r="Y11" s="148"/>
      <c r="Z11" s="146" t="s">
        <v>60</v>
      </c>
      <c r="AA11" s="147"/>
      <c r="AB11" s="147"/>
      <c r="AC11" s="147"/>
      <c r="AD11" s="147"/>
      <c r="AE11" s="148"/>
      <c r="AF11" s="149"/>
      <c r="AG11" s="143"/>
      <c r="AH11" s="147"/>
      <c r="AI11" s="147"/>
      <c r="AJ11" s="143" t="e">
        <f t="array" ref="AJ11">INDEX($A11:S11,MATCH(AH11,$2:$2,0)-1)</f>
        <v>#N/A</v>
      </c>
      <c r="AK11" s="143"/>
      <c r="AL11" s="143"/>
      <c r="AM11" s="153" t="str">
        <f t="array" ref="AM11">IF(AL11="Y",INDEX($A11:S11,MATCH(AH11,$2:$2,0)+0),"")</f>
        <v/>
      </c>
      <c r="AN11" s="143" t="e">
        <f t="array" ref="AN11">INDEX($A11:S11,MATCH(AH11,$2:$2,0)+4)</f>
        <v>#N/A</v>
      </c>
      <c r="AO11" s="143"/>
      <c r="AP11" s="150"/>
      <c r="AQ11" s="147"/>
      <c r="AR11" s="143"/>
      <c r="AS11" s="147"/>
      <c r="AT11" s="143"/>
      <c r="AU11" s="147"/>
      <c r="AV11" s="143"/>
      <c r="AW11" s="147"/>
      <c r="AX11" s="143"/>
      <c r="AY11" s="147"/>
      <c r="AZ11" s="143"/>
      <c r="BA11" s="147"/>
      <c r="BB11" s="143"/>
      <c r="BC11" s="146"/>
      <c r="BD11" s="147"/>
      <c r="BE11" s="144"/>
      <c r="BF11" s="144"/>
      <c r="BG11" s="144"/>
    </row>
    <row r="12" spans="1:59" s="122" customFormat="1" ht="15" customHeight="1">
      <c r="A12" s="123" t="s">
        <v>74</v>
      </c>
      <c r="B12" s="123" t="s">
        <v>75</v>
      </c>
      <c r="C12" s="123" t="s">
        <v>76</v>
      </c>
      <c r="D12" s="123" t="s">
        <v>73</v>
      </c>
      <c r="E12" s="129">
        <v>0.161</v>
      </c>
      <c r="F12" s="126">
        <v>0.15</v>
      </c>
      <c r="G12" s="124">
        <v>10000</v>
      </c>
      <c r="H12" s="125">
        <f>SUM(AQ12,AS12,AU12,AW12,AY12,BA12)</f>
        <v>32000</v>
      </c>
      <c r="I12" s="126">
        <v>12</v>
      </c>
      <c r="J12" s="127">
        <f>IFERROR((AQ12*AR12+AS12*AT12+AU12*AV12+AW12*AX12+AY12*AZ12+BA12*BB12)/H12,"")</f>
        <v>11.984375</v>
      </c>
      <c r="K12" s="128">
        <f t="shared" ref="K12:L14" si="1">I12*$A$2</f>
        <v>6.6000000000000005</v>
      </c>
      <c r="L12" s="128">
        <f t="shared" si="1"/>
        <v>6.5914062500000004</v>
      </c>
      <c r="M12" s="130"/>
      <c r="N12" s="188">
        <v>8</v>
      </c>
      <c r="O12" s="189">
        <v>7.27</v>
      </c>
      <c r="P12" s="190">
        <f>IF(Q$2="First Sale",(N12-O12)/O12,"n/a")</f>
        <v>0.10041265474552964</v>
      </c>
      <c r="Q12" s="191">
        <f>MROUND(IF(OR(Q$2="DUTY FREE",Q$2="CPTPP"),Q$3*N12,IF(Q$2="FCA",0,IF(Q$2="CIF",(Q$3*N12),IF(Q$2="FIRST SALE",(($E12+Q$3)*O12),IF(Q$2="FOB",($E12+Q$3)*N12,"ERROR"))))),0.01)</f>
        <v>2.5500000000000003</v>
      </c>
      <c r="R12" s="191">
        <f>MROUND(IF(OR(Q$2="FCA",Q$2="CIF"),0,IF($A$3="USA",VLOOKUP(N$3,Internal!$B$1:$E$17,3,0),IF($A$3="CANADA",VLOOKUP(N$3,Internal!$B$1:$E$17,4,0)))*$F12+$F12),0.01)</f>
        <v>0.38</v>
      </c>
      <c r="S12" s="192">
        <f>N12+Q12+R12+$M12</f>
        <v>10.930000000000001</v>
      </c>
      <c r="T12" s="188">
        <v>8.1</v>
      </c>
      <c r="U12" s="189"/>
      <c r="V12" s="190" t="str">
        <f>IF(W$2="First Sale",(T12-U12)/U12,"n/a")</f>
        <v>n/a</v>
      </c>
      <c r="W12" s="191">
        <f>MROUND(IF(OR(W$2="DUTY FREE",W$2="CPTPP"),W$3*T12,IF(W$2="FCA",0,IF(W$2="CIF",(W$3*T12),IF(W$2="FIRST SALE",(($E12+W$3)*U12),IF(W$2="FOB",($E12+W$3)*T12,"ERROR"))))),0.01)</f>
        <v>2.84</v>
      </c>
      <c r="X12" s="191">
        <f>MROUND(IF(OR(W$2="FCA",W$2="CIF"),0,IF($A$3="USA",VLOOKUP(T$3,Internal!$B$1:$E$17,3,0),IF($A$3="CANADA",VLOOKUP(T$3,Internal!$B$1:$E$17,4,0)))*$F12+$F12),0.01)</f>
        <v>0.38</v>
      </c>
      <c r="Y12" s="192">
        <f>T12+W12+X12+$M12</f>
        <v>11.32</v>
      </c>
      <c r="Z12" s="188">
        <v>9</v>
      </c>
      <c r="AA12" s="189"/>
      <c r="AB12" s="190" t="str">
        <f>IF(AC$2="First Sale",(Z12-AA12)/AA12,"n/a")</f>
        <v>n/a</v>
      </c>
      <c r="AC12" s="191">
        <f>MROUND(IF(OR(AC$2="DUTY FREE",AC$2="CPTPP"),AC$3*Z12,IF(AC$2="FCA",0,IF(AC$2="CIF",(AC$3*Z12),IF(AC$2="FIRST SALE",(($E12+AC$3)*AA12),IF(AC$2="FOB",($E12+AC$3)*Z12,"ERROR"))))),0.01)</f>
        <v>1.35</v>
      </c>
      <c r="AD12" s="191">
        <f>MROUND(IF(OR(AC$2="FCA",AC$2="CIF"),0,IF($A$3="USA",VLOOKUP(Z$3,Internal!$B$1:$E$17,3,0),IF($A$3="CANADA",VLOOKUP(Z$3,Internal!$B$1:$E$17,4,0)))*$F12+$F12),0.01)</f>
        <v>0</v>
      </c>
      <c r="AE12" s="192">
        <f>Z12+AC12+AD12+$M12</f>
        <v>10.35</v>
      </c>
      <c r="AF12" s="131"/>
      <c r="AG12" s="132" t="str">
        <f>IF(ISBLANK(A12),"",A12)</f>
        <v>CPM253FC17</v>
      </c>
      <c r="AH12" s="132" t="s">
        <v>77</v>
      </c>
      <c r="AI12" s="133">
        <f>IF(ISBLANK(H12),"",H12)</f>
        <v>32000</v>
      </c>
      <c r="AJ12" s="134">
        <f>INDEX($A12:AE12,MATCH(AH12,$2:$2,0))</f>
        <v>8</v>
      </c>
      <c r="AK12" s="132"/>
      <c r="AL12" s="132" t="s">
        <v>78</v>
      </c>
      <c r="AM12" s="154">
        <f t="array" ref="AM12">IF(AL12="Y",INDEX($A12:AE12,MATCH(AH12,$2:$2,0)+1),"")</f>
        <v>7.27</v>
      </c>
      <c r="AN12" s="135">
        <f t="array" ref="AN12">INDEX($A12:AE12,MATCH(AH12,$2:$2,0)+5)</f>
        <v>10.930000000000001</v>
      </c>
      <c r="AO12" s="136">
        <f>IFERROR(($I12-AN12)/$I12,"")</f>
        <v>8.9166666666666547E-2</v>
      </c>
      <c r="AP12" s="136">
        <f>IFERROR(($J12-AN12)/$J12,"")</f>
        <v>8.7979139504563111E-2</v>
      </c>
      <c r="AQ12" s="162">
        <v>6000</v>
      </c>
      <c r="AR12" s="163">
        <v>12</v>
      </c>
      <c r="AS12" s="164">
        <v>9000</v>
      </c>
      <c r="AT12" s="165">
        <v>12.5</v>
      </c>
      <c r="AU12" s="162">
        <v>10000</v>
      </c>
      <c r="AV12" s="163">
        <v>11</v>
      </c>
      <c r="AW12" s="164">
        <v>4000</v>
      </c>
      <c r="AX12" s="165">
        <v>12</v>
      </c>
      <c r="AY12" s="162">
        <v>2000</v>
      </c>
      <c r="AZ12" s="163">
        <v>13</v>
      </c>
      <c r="BA12" s="164">
        <v>1000</v>
      </c>
      <c r="BB12" s="165">
        <v>15</v>
      </c>
      <c r="BC12" s="137"/>
      <c r="BD12" s="138"/>
      <c r="BE12" s="139"/>
      <c r="BF12" s="140"/>
      <c r="BG12" s="140"/>
    </row>
    <row r="13" spans="1:59" s="122" customFormat="1" ht="15" customHeight="1">
      <c r="A13" s="123" t="s">
        <v>79</v>
      </c>
      <c r="B13" s="123" t="s">
        <v>80</v>
      </c>
      <c r="C13" s="123" t="s">
        <v>81</v>
      </c>
      <c r="D13" s="123" t="s">
        <v>73</v>
      </c>
      <c r="E13" s="129">
        <v>0.14899999999999999</v>
      </c>
      <c r="F13" s="126">
        <v>0.15</v>
      </c>
      <c r="G13" s="124">
        <v>10000</v>
      </c>
      <c r="H13" s="125">
        <f>SUM(AQ13,AS13,AU13,AW13,AY13,BA13)</f>
        <v>21000</v>
      </c>
      <c r="I13" s="126">
        <v>15</v>
      </c>
      <c r="J13" s="127">
        <f>IFERROR((AQ13*AR13+AS13*AT13+AU13*AV13+AW13*AX13+AY13*AZ13+BA13*BB13)/H13,"")</f>
        <v>17.714285714285715</v>
      </c>
      <c r="K13" s="128">
        <f t="shared" si="1"/>
        <v>8.25</v>
      </c>
      <c r="L13" s="128">
        <f t="shared" si="1"/>
        <v>9.7428571428571438</v>
      </c>
      <c r="M13" s="130"/>
      <c r="N13" s="188">
        <v>10</v>
      </c>
      <c r="O13" s="189">
        <v>8.5</v>
      </c>
      <c r="P13" s="190">
        <f>IF(Q$2="First Sale",(N13-O13)/O13,"n/a")</f>
        <v>0.17647058823529413</v>
      </c>
      <c r="Q13" s="191">
        <f>MROUND(IF(OR(Q$2="DUTY FREE",Q$2="CPTPP"),Q$3*N13,IF(Q$2="FCA",0,IF(Q$2="CIF",(Q$3*N13),IF(Q$2="FIRST SALE",(($E13+Q$3)*O13),IF(Q$2="FOB",($E13+Q$3)*N13,"ERROR"))))),0.01)</f>
        <v>2.88</v>
      </c>
      <c r="R13" s="191">
        <f>MROUND(IF(OR(Q$2="FCA",Q$2="CIF"),0,IF($A$3="USA",VLOOKUP(N$3,Internal!$B$1:$E$17,3,0),IF($A$3="CANADA",VLOOKUP(N$3,Internal!$B$1:$E$17,4,0)))*$F13+$F13),0.01)</f>
        <v>0.38</v>
      </c>
      <c r="S13" s="192">
        <f>N13+Q13+R13+$M13</f>
        <v>13.26</v>
      </c>
      <c r="T13" s="188">
        <v>9.75</v>
      </c>
      <c r="U13" s="189"/>
      <c r="V13" s="190" t="str">
        <f>IF(W$2="First Sale",(T13-U13)/U13,"n/a")</f>
        <v>n/a</v>
      </c>
      <c r="W13" s="191">
        <f>MROUND(IF(OR(W$2="DUTY FREE",W$2="CPTPP"),W$3*T13,IF(W$2="FCA",0,IF(W$2="CIF",(W$3*T13),IF(W$2="FIRST SALE",(($E13+W$3)*U13),IF(W$2="FOB",($E13+W$3)*T13,"ERROR"))))),0.01)</f>
        <v>3.31</v>
      </c>
      <c r="X13" s="191">
        <f>MROUND(IF(OR(W$2="FCA",W$2="CIF"),0,IF($A$3="USA",VLOOKUP(T$3,Internal!$B$1:$E$17,3,0),IF($A$3="CANADA",VLOOKUP(T$3,Internal!$B$1:$E$17,4,0)))*$F13+$F13),0.01)</f>
        <v>0.38</v>
      </c>
      <c r="Y13" s="192">
        <f>T13+W13+X13+$M13</f>
        <v>13.440000000000001</v>
      </c>
      <c r="Z13" s="188">
        <v>11</v>
      </c>
      <c r="AA13" s="189"/>
      <c r="AB13" s="190" t="str">
        <f>IF(AC$2="First Sale",(Z13-AA13)/AA13,"n/a")</f>
        <v>n/a</v>
      </c>
      <c r="AC13" s="191">
        <f>MROUND(IF(OR(AC$2="DUTY FREE",AC$2="CPTPP"),AC$3*Z13,IF(AC$2="FCA",0,IF(AC$2="CIF",(AC$3*Z13),IF(AC$2="FIRST SALE",(($E13+AC$3)*AA13),IF(AC$2="FOB",($E13+AC$3)*Z13,"ERROR"))))),0.01)</f>
        <v>1.6500000000000001</v>
      </c>
      <c r="AD13" s="191">
        <f>MROUND(IF(OR(AC$2="FCA",AC$2="CIF"),0,IF($A$3="USA",VLOOKUP(Z$3,Internal!$B$1:$E$17,3,0),IF($A$3="CANADA",VLOOKUP(Z$3,Internal!$B$1:$E$17,4,0)))*$F13+$F13),0.01)</f>
        <v>0</v>
      </c>
      <c r="AE13" s="192">
        <f>Z13+AC13+AD13+$M13</f>
        <v>12.65</v>
      </c>
      <c r="AF13" s="131"/>
      <c r="AG13" s="132" t="str">
        <f>IF(ISBLANK(A13),"",A13)</f>
        <v>CPM253FC08</v>
      </c>
      <c r="AH13" s="132" t="s">
        <v>77</v>
      </c>
      <c r="AI13" s="133">
        <f>IF(ISBLANK(H13),"",H13)</f>
        <v>21000</v>
      </c>
      <c r="AJ13" s="134">
        <f>INDEX($A13:AE13,MATCH(AH13,$2:$2,0))</f>
        <v>10</v>
      </c>
      <c r="AK13" s="132"/>
      <c r="AL13" s="132" t="s">
        <v>78</v>
      </c>
      <c r="AM13" s="154">
        <v>8.5</v>
      </c>
      <c r="AN13" s="135">
        <f t="array" ref="AN13">INDEX($A13:AE13,MATCH(AH13,$2:$2,0)+5)</f>
        <v>13.26</v>
      </c>
      <c r="AO13" s="136">
        <f>IFERROR(($I13-AN13)/$I13,"")</f>
        <v>0.11600000000000002</v>
      </c>
      <c r="AP13" s="136">
        <f>IFERROR(($J13-AN13)/$J13,"")</f>
        <v>0.25145161290322587</v>
      </c>
      <c r="AQ13" s="162">
        <v>5000</v>
      </c>
      <c r="AR13" s="163">
        <v>15</v>
      </c>
      <c r="AS13" s="166">
        <v>7000</v>
      </c>
      <c r="AT13" s="167">
        <v>16</v>
      </c>
      <c r="AU13" s="162">
        <v>2000</v>
      </c>
      <c r="AV13" s="163">
        <v>18</v>
      </c>
      <c r="AW13" s="166">
        <v>4000</v>
      </c>
      <c r="AX13" s="167">
        <v>20</v>
      </c>
      <c r="AY13" s="162">
        <v>2000</v>
      </c>
      <c r="AZ13" s="163">
        <v>22</v>
      </c>
      <c r="BA13" s="166">
        <v>1000</v>
      </c>
      <c r="BB13" s="167">
        <v>25</v>
      </c>
      <c r="BC13" s="137"/>
      <c r="BD13" s="138"/>
      <c r="BE13" s="139"/>
      <c r="BF13" s="140"/>
      <c r="BG13" s="140"/>
    </row>
    <row r="14" spans="1:59" s="122" customFormat="1" ht="15" customHeight="1">
      <c r="A14" s="123" t="s">
        <v>82</v>
      </c>
      <c r="B14" s="123" t="s">
        <v>83</v>
      </c>
      <c r="C14" s="123" t="s">
        <v>84</v>
      </c>
      <c r="D14" s="123" t="s">
        <v>73</v>
      </c>
      <c r="E14" s="129">
        <v>0.161</v>
      </c>
      <c r="F14" s="126">
        <v>0.15</v>
      </c>
      <c r="G14" s="124">
        <v>10000</v>
      </c>
      <c r="H14" s="125">
        <f>SUM(AQ14,AS14,AU14,AW14,AY14,BA14)</f>
        <v>15000</v>
      </c>
      <c r="I14" s="126">
        <v>10</v>
      </c>
      <c r="J14" s="127">
        <f>IFERROR((AQ14*AR14+AS14*AT14+AU14*AV14+AW14*AX14+AY14*AZ14+BA14*BB14)/H14,"")</f>
        <v>15.866666666666667</v>
      </c>
      <c r="K14" s="128">
        <f t="shared" si="1"/>
        <v>5.5</v>
      </c>
      <c r="L14" s="128">
        <f t="shared" si="1"/>
        <v>8.7266666666666683</v>
      </c>
      <c r="M14" s="130"/>
      <c r="N14" s="188">
        <v>7</v>
      </c>
      <c r="O14" s="189">
        <v>6.25</v>
      </c>
      <c r="P14" s="190">
        <f>IF(Q$2="First Sale",(N14-O14)/O14,"n/a")</f>
        <v>0.12</v>
      </c>
      <c r="Q14" s="191">
        <f>MROUND(IF(OR(Q$2="DUTY FREE",Q$2="CPTPP"),Q$3*N14,IF(Q$2="FCA",0,IF(Q$2="CIF",(Q$3*N14),IF(Q$2="FIRST SALE",(($E14+Q$3)*O14),IF(Q$2="FOB",($E14+Q$3)*N14,"ERROR"))))),0.01)</f>
        <v>2.19</v>
      </c>
      <c r="R14" s="191">
        <f>MROUND(IF(OR(Q$2="FCA",Q$2="CIF"),0,IF($A$3="USA",VLOOKUP(N$3,Internal!$B$1:$E$17,3,0),IF($A$3="CANADA",VLOOKUP(N$3,Internal!$B$1:$E$17,4,0)))*$F14+$F14),0.01)</f>
        <v>0.38</v>
      </c>
      <c r="S14" s="192">
        <f>N14+Q14+R14+$M14</f>
        <v>9.57</v>
      </c>
      <c r="T14" s="188">
        <v>7.05</v>
      </c>
      <c r="U14" s="189"/>
      <c r="V14" s="190" t="str">
        <f>IF(W$2="First Sale",(T14-U14)/U14,"n/a")</f>
        <v>n/a</v>
      </c>
      <c r="W14" s="191">
        <f>MROUND(IF(OR(W$2="DUTY FREE",W$2="CPTPP"),W$3*T14,IF(W$2="FCA",0,IF(W$2="CIF",(W$3*T14),IF(W$2="FIRST SALE",(($E14+W$3)*U14),IF(W$2="FOB",($E14+W$3)*T14,"ERROR"))))),0.01)</f>
        <v>2.4700000000000002</v>
      </c>
      <c r="X14" s="191">
        <f>MROUND(IF(OR(W$2="FCA",W$2="CIF"),0,IF($A$3="USA",VLOOKUP(T$3,Internal!$B$1:$E$17,3,0),IF($A$3="CANADA",VLOOKUP(T$3,Internal!$B$1:$E$17,4,0)))*$F14+$F14),0.01)</f>
        <v>0.38</v>
      </c>
      <c r="Y14" s="192">
        <f>T14+W14+X14+$M14</f>
        <v>9.9</v>
      </c>
      <c r="Z14" s="188">
        <v>8</v>
      </c>
      <c r="AA14" s="189"/>
      <c r="AB14" s="190" t="str">
        <f>IF(AC$2="First Sale",(Z14-AA14)/AA14,"n/a")</f>
        <v>n/a</v>
      </c>
      <c r="AC14" s="191">
        <f>MROUND(IF(OR(AC$2="DUTY FREE",AC$2="CPTPP"),AC$3*Z14,IF(AC$2="FCA",0,IF(AC$2="CIF",(AC$3*Z14),IF(AC$2="FIRST SALE",(($E14+AC$3)*AA14),IF(AC$2="FOB",($E14+AC$3)*Z14,"ERROR"))))),0.01)</f>
        <v>1.2</v>
      </c>
      <c r="AD14" s="191">
        <f>MROUND(IF(OR(AC$2="FCA",AC$2="CIF"),0,IF($A$3="USA",VLOOKUP(Z$3,Internal!$B$1:$E$17,3,0),IF($A$3="CANADA",VLOOKUP(Z$3,Internal!$B$1:$E$17,4,0)))*$F14+$F14),0.01)</f>
        <v>0</v>
      </c>
      <c r="AE14" s="192">
        <f>Z14+AC14+AD14+$M14</f>
        <v>9.1999999999999993</v>
      </c>
      <c r="AF14" s="131"/>
      <c r="AG14" s="132" t="str">
        <f>IF(ISBLANK(A14),"",A14)</f>
        <v>CPM253FC10</v>
      </c>
      <c r="AH14" s="132" t="s">
        <v>72</v>
      </c>
      <c r="AI14" s="133">
        <f>IF(ISBLANK(H14),"",H14)</f>
        <v>15000</v>
      </c>
      <c r="AJ14" s="134">
        <f>INDEX($A14:AE14,MATCH(AH14,$2:$2,0))</f>
        <v>8</v>
      </c>
      <c r="AK14" s="132"/>
      <c r="AL14" s="132"/>
      <c r="AM14" s="154" t="str">
        <f t="array" ref="AM14">IF(AL14="Y",INDEX($A14:AE14,MATCH(AH14,$2:$2,0)+1),"")</f>
        <v/>
      </c>
      <c r="AN14" s="135">
        <f t="array" ref="AN14">INDEX($A14:AE14,MATCH(AH14,$2:$2,0)+5)</f>
        <v>9.1999999999999993</v>
      </c>
      <c r="AO14" s="136">
        <f>IFERROR(($I14-AN14)/$I14,"")</f>
        <v>8.0000000000000071E-2</v>
      </c>
      <c r="AP14" s="136">
        <f>IFERROR(($J14-AN14)/$J14,"")</f>
        <v>0.42016806722689082</v>
      </c>
      <c r="AQ14" s="162">
        <v>3000</v>
      </c>
      <c r="AR14" s="163">
        <v>10</v>
      </c>
      <c r="AS14" s="166">
        <v>4000</v>
      </c>
      <c r="AT14" s="167">
        <v>13</v>
      </c>
      <c r="AU14" s="162">
        <v>1000</v>
      </c>
      <c r="AV14" s="163">
        <v>11</v>
      </c>
      <c r="AW14" s="166">
        <v>4000</v>
      </c>
      <c r="AX14" s="167">
        <v>20</v>
      </c>
      <c r="AY14" s="162">
        <v>2000</v>
      </c>
      <c r="AZ14" s="163">
        <v>20</v>
      </c>
      <c r="BA14" s="166">
        <v>1000</v>
      </c>
      <c r="BB14" s="167">
        <v>25</v>
      </c>
      <c r="BC14" s="137"/>
      <c r="BD14" s="138"/>
      <c r="BE14" s="139"/>
      <c r="BF14" s="140"/>
      <c r="BG14" s="140"/>
    </row>
    <row r="15" spans="1:59" s="151" customFormat="1" ht="11" customHeight="1">
      <c r="A15" s="141"/>
      <c r="B15" s="141" t="s">
        <v>307</v>
      </c>
      <c r="C15" s="141"/>
      <c r="D15" s="142"/>
      <c r="E15" s="144"/>
      <c r="F15" s="144"/>
      <c r="G15" s="143"/>
      <c r="H15" s="143"/>
      <c r="I15" s="143"/>
      <c r="J15" s="143"/>
      <c r="K15" s="143"/>
      <c r="L15" s="143"/>
      <c r="M15" s="145"/>
      <c r="N15" s="146"/>
      <c r="O15" s="147"/>
      <c r="P15" s="147"/>
      <c r="Q15" s="147"/>
      <c r="R15" s="147"/>
      <c r="S15" s="148"/>
      <c r="T15" s="146"/>
      <c r="U15" s="147"/>
      <c r="V15" s="147"/>
      <c r="W15" s="147"/>
      <c r="X15" s="147"/>
      <c r="Y15" s="148"/>
      <c r="Z15" s="146"/>
      <c r="AA15" s="147"/>
      <c r="AB15" s="147"/>
      <c r="AC15" s="147"/>
      <c r="AD15" s="147"/>
      <c r="AE15" s="148"/>
      <c r="AF15" s="149"/>
      <c r="AG15" s="143"/>
      <c r="AH15" s="147"/>
      <c r="AI15" s="147"/>
      <c r="AJ15" s="143" t="e">
        <f t="array" ref="AJ15">INDEX($A15:S15,MATCH(AH15,$2:$2,0)-1)</f>
        <v>#N/A</v>
      </c>
      <c r="AK15" s="143"/>
      <c r="AL15" s="143"/>
      <c r="AM15" s="153" t="str">
        <f t="array" ref="AM15">IF(AL15="Y",INDEX($A15:S15,MATCH(AH15,$2:$2,0)+0),"")</f>
        <v/>
      </c>
      <c r="AN15" s="143" t="e">
        <f t="array" ref="AN15">INDEX($A15:S15,MATCH(AH15,$2:$2,0)+4)</f>
        <v>#N/A</v>
      </c>
      <c r="AO15" s="143"/>
      <c r="AP15" s="150"/>
      <c r="AQ15" s="147"/>
      <c r="AR15" s="143"/>
      <c r="AS15" s="147"/>
      <c r="AT15" s="143"/>
      <c r="AU15" s="147"/>
      <c r="AV15" s="143"/>
      <c r="AW15" s="147"/>
      <c r="AX15" s="143"/>
      <c r="AY15" s="147"/>
      <c r="AZ15" s="143"/>
      <c r="BA15" s="147"/>
      <c r="BB15" s="143"/>
      <c r="BC15" s="146"/>
      <c r="BD15" s="147"/>
      <c r="BE15" s="144"/>
      <c r="BF15" s="144"/>
      <c r="BG15" s="144"/>
    </row>
    <row r="16" spans="1:59" s="19" customFormat="1" ht="17" customHeight="1">
      <c r="A16" s="1"/>
      <c r="B16" s="2"/>
      <c r="C16" s="193" t="s">
        <v>308</v>
      </c>
      <c r="D16" s="2"/>
      <c r="E16" s="6"/>
      <c r="F16" s="7"/>
      <c r="G16" s="3"/>
      <c r="H16" s="3"/>
      <c r="I16" s="4"/>
      <c r="J16" s="4"/>
      <c r="K16" s="5"/>
      <c r="L16" s="5"/>
      <c r="M16" s="8"/>
      <c r="N16" s="9"/>
      <c r="O16" s="5"/>
      <c r="P16" s="5"/>
      <c r="Q16" s="5"/>
      <c r="R16" s="5"/>
      <c r="S16" s="10"/>
      <c r="T16" s="9"/>
      <c r="U16" s="5"/>
      <c r="V16" s="5"/>
      <c r="W16" s="5"/>
      <c r="X16" s="5"/>
      <c r="Y16" s="10"/>
      <c r="Z16" s="9"/>
      <c r="AA16" s="5"/>
      <c r="AB16" s="5"/>
      <c r="AC16" s="5"/>
      <c r="AD16" s="5"/>
      <c r="AE16" s="10"/>
      <c r="AF16" s="11"/>
      <c r="AG16" s="12"/>
      <c r="AH16" s="13"/>
      <c r="AI16" s="14"/>
      <c r="AJ16" s="13"/>
      <c r="AK16" s="13"/>
      <c r="AL16" s="14"/>
      <c r="AM16" s="14"/>
      <c r="AN16" s="15"/>
      <c r="AO16" s="13"/>
      <c r="AP16" s="14"/>
      <c r="AQ16" s="16"/>
      <c r="AR16" s="17"/>
      <c r="AS16" s="16"/>
      <c r="AT16" s="17"/>
      <c r="AU16" s="16"/>
      <c r="AV16" s="17"/>
      <c r="AW16" s="16"/>
      <c r="AX16" s="17"/>
      <c r="AY16" s="16"/>
      <c r="AZ16" s="17"/>
      <c r="BA16" s="16"/>
      <c r="BB16" s="18"/>
      <c r="BC16" s="9"/>
      <c r="BD16" s="5"/>
      <c r="BE16" s="2"/>
      <c r="BF16" s="2"/>
      <c r="BG16" s="2"/>
    </row>
    <row r="17" spans="1:59" s="151" customFormat="1" ht="11" customHeight="1">
      <c r="A17" s="141"/>
      <c r="B17" s="141" t="s">
        <v>307</v>
      </c>
      <c r="C17" s="141"/>
      <c r="D17" s="142"/>
      <c r="E17" s="144"/>
      <c r="F17" s="144"/>
      <c r="G17" s="143"/>
      <c r="H17" s="143"/>
      <c r="I17" s="143"/>
      <c r="J17" s="143"/>
      <c r="K17" s="143"/>
      <c r="L17" s="143"/>
      <c r="M17" s="145"/>
      <c r="N17" s="146"/>
      <c r="O17" s="147"/>
      <c r="P17" s="147"/>
      <c r="Q17" s="147"/>
      <c r="R17" s="147"/>
      <c r="S17" s="148"/>
      <c r="T17" s="146"/>
      <c r="U17" s="147"/>
      <c r="V17" s="147"/>
      <c r="W17" s="147"/>
      <c r="X17" s="147"/>
      <c r="Y17" s="148"/>
      <c r="Z17" s="146"/>
      <c r="AA17" s="147"/>
      <c r="AB17" s="147"/>
      <c r="AC17" s="147"/>
      <c r="AD17" s="147"/>
      <c r="AE17" s="148"/>
      <c r="AF17" s="149"/>
      <c r="AG17" s="143"/>
      <c r="AH17" s="147"/>
      <c r="AI17" s="147"/>
      <c r="AJ17" s="143" t="e">
        <f t="array" ref="AJ17">INDEX($A17:S17,MATCH(AH17,$2:$2,0)-1)</f>
        <v>#N/A</v>
      </c>
      <c r="AK17" s="143"/>
      <c r="AL17" s="143"/>
      <c r="AM17" s="153" t="str">
        <f t="array" ref="AM17">IF(AL17="Y",INDEX($A17:S17,MATCH(AH17,$2:$2,0)+0),"")</f>
        <v/>
      </c>
      <c r="AN17" s="143" t="e">
        <f t="array" ref="AN17">INDEX($A17:S17,MATCH(AH17,$2:$2,0)+4)</f>
        <v>#N/A</v>
      </c>
      <c r="AO17" s="143"/>
      <c r="AP17" s="150"/>
      <c r="AQ17" s="147"/>
      <c r="AR17" s="143"/>
      <c r="AS17" s="147"/>
      <c r="AT17" s="143"/>
      <c r="AU17" s="147"/>
      <c r="AV17" s="143"/>
      <c r="AW17" s="147"/>
      <c r="AX17" s="143"/>
      <c r="AY17" s="147"/>
      <c r="AZ17" s="143"/>
      <c r="BA17" s="147"/>
      <c r="BB17" s="143"/>
      <c r="BC17" s="146"/>
      <c r="BD17" s="147"/>
      <c r="BE17" s="144"/>
      <c r="BF17" s="144"/>
      <c r="BG17" s="144"/>
    </row>
    <row r="18" spans="1:59" s="122" customFormat="1" ht="15" customHeight="1" thickBot="1">
      <c r="A18" s="123"/>
      <c r="B18" s="123"/>
      <c r="C18" s="123"/>
      <c r="D18" s="123"/>
      <c r="E18" s="129"/>
      <c r="F18" s="126"/>
      <c r="G18" s="124"/>
      <c r="H18" s="125">
        <f>SUM(AQ18,AS18,AU18,AW18,AY18,BA18)</f>
        <v>0</v>
      </c>
      <c r="I18" s="126"/>
      <c r="J18" s="127" t="str">
        <f>IFERROR((AQ18*AR18+AS18*AT18+AU18*AV18+AW18*AX18+AY18*AZ18+BA18*BB18)/H18,"")</f>
        <v/>
      </c>
      <c r="K18" s="128">
        <f t="shared" ref="K18" si="2">I18*$A$2</f>
        <v>0</v>
      </c>
      <c r="L18" s="128" t="e">
        <f t="shared" ref="L18" si="3">J18*$A$2</f>
        <v>#VALUE!</v>
      </c>
      <c r="M18" s="130"/>
      <c r="N18" s="188"/>
      <c r="O18" s="189"/>
      <c r="P18" s="190" t="e">
        <f>IF(Q$2="First Sale",(N18-O18)/O18,"n/a")</f>
        <v>#DIV/0!</v>
      </c>
      <c r="Q18" s="191">
        <f>MROUND(IF(OR(Q$2="DUTY FREE",Q$2="CPTPP"),Q$3*N18,IF(Q$2="FCA",0,IF(Q$2="CIF",(Q$3*N18),IF(Q$2="FIRST SALE",(($E18+Q$3)*O18),IF(Q$2="FOB",($E18+Q$3)*N18,"ERROR"))))),0.01)</f>
        <v>0</v>
      </c>
      <c r="R18" s="191">
        <f>MROUND(IF(OR(Q$2="FCA",Q$2="CIF"),0,IF($A$3="USA",VLOOKUP(N$3,Internal!$B$1:$E$17,3,0),IF($A$3="CANADA",VLOOKUP(N$3,Internal!$B$1:$E$17,4,0)))*$F18+$F18),0.01)</f>
        <v>0</v>
      </c>
      <c r="S18" s="192">
        <f>N18+Q18+R18+$M18</f>
        <v>0</v>
      </c>
      <c r="T18" s="188"/>
      <c r="U18" s="189"/>
      <c r="V18" s="190" t="str">
        <f>IF(W$2="First Sale",(T18-U18)/U18,"n/a")</f>
        <v>n/a</v>
      </c>
      <c r="W18" s="191">
        <f>MROUND(IF(OR(W$2="DUTY FREE",W$2="CPTPP"),W$3*T18,IF(W$2="FCA",0,IF(W$2="CIF",(W$3*T18),IF(W$2="FIRST SALE",(($E18+W$3)*U18),IF(W$2="FOB",($E18+W$3)*T18,"ERROR"))))),0.01)</f>
        <v>0</v>
      </c>
      <c r="X18" s="191">
        <f>MROUND(IF(OR(W$2="FCA",W$2="CIF"),0,IF($A$3="USA",VLOOKUP(T$3,Internal!$B$1:$E$17,3,0),IF($A$3="CANADA",VLOOKUP(T$3,Internal!$B$1:$E$17,4,0)))*$F18+$F18),0.01)</f>
        <v>0</v>
      </c>
      <c r="Y18" s="192">
        <f>T18+W18+X18+$M18</f>
        <v>0</v>
      </c>
      <c r="Z18" s="188"/>
      <c r="AA18" s="189"/>
      <c r="AB18" s="190" t="str">
        <f>IF(AC$2="First Sale",(Z18-AA18)/AA18,"n/a")</f>
        <v>n/a</v>
      </c>
      <c r="AC18" s="191">
        <f>MROUND(IF(OR(AC$2="DUTY FREE",AC$2="CPTPP"),AC$3*Z18,IF(AC$2="FCA",0,IF(AC$2="CIF",(AC$3*Z18),IF(AC$2="FIRST SALE",(($E18+AC$3)*AA18),IF(AC$2="FOB",($E18+AC$3)*Z18,"ERROR"))))),0.01)</f>
        <v>0</v>
      </c>
      <c r="AD18" s="191">
        <f>MROUND(IF(OR(AC$2="FCA",AC$2="CIF"),0,IF($A$3="USA",VLOOKUP(Z$3,Internal!$B$1:$E$17,3,0),IF($A$3="CANADA",VLOOKUP(Z$3,Internal!$B$1:$E$17,4,0)))*$F18+$F18),0.01)</f>
        <v>0</v>
      </c>
      <c r="AE18" s="192">
        <f>Z18+AC18+AD18+$M18</f>
        <v>0</v>
      </c>
      <c r="AF18" s="131"/>
      <c r="AG18" s="132" t="str">
        <f>IF(ISBLANK(A18),"",A18)</f>
        <v/>
      </c>
      <c r="AH18" s="132"/>
      <c r="AI18" s="133">
        <f>IF(ISBLANK(H18),"",H18)</f>
        <v>0</v>
      </c>
      <c r="AJ18" s="134" t="e">
        <f>INDEX($A18:AE18,MATCH(AH18,$2:$2,0))</f>
        <v>#N/A</v>
      </c>
      <c r="AK18" s="132"/>
      <c r="AL18" s="132"/>
      <c r="AM18" s="154" t="str">
        <f t="array" ref="AM18">IF(AL18="Y",INDEX($A18:AE18,MATCH(AH18,$2:$2,0)+1),"")</f>
        <v/>
      </c>
      <c r="AN18" s="135" t="e">
        <f t="array" ref="AN18">INDEX($A18:AE18,MATCH(AH18,$2:$2,0)+5)</f>
        <v>#N/A</v>
      </c>
      <c r="AO18" s="136" t="str">
        <f>IFERROR(($I18-AN18)/$I18,"")</f>
        <v/>
      </c>
      <c r="AP18" s="136" t="str">
        <f>IFERROR(($J18-AN18)/$J18,"")</f>
        <v/>
      </c>
      <c r="AQ18" s="162"/>
      <c r="AR18" s="163"/>
      <c r="AS18" s="166"/>
      <c r="AT18" s="167"/>
      <c r="AU18" s="162"/>
      <c r="AV18" s="163"/>
      <c r="AW18" s="166"/>
      <c r="AX18" s="167"/>
      <c r="AY18" s="162"/>
      <c r="AZ18" s="163"/>
      <c r="BA18" s="166"/>
      <c r="BB18" s="167"/>
      <c r="BC18" s="137"/>
      <c r="BD18" s="138"/>
      <c r="BE18" s="139"/>
      <c r="BF18" s="140"/>
      <c r="BG18" s="140"/>
    </row>
    <row r="19" spans="1:59" ht="19.5" customHeight="1" thickBot="1">
      <c r="A19" s="74">
        <f>COUNTA(A6:A18)</f>
        <v>8</v>
      </c>
      <c r="B19" s="74"/>
      <c r="C19" s="74"/>
      <c r="D19" s="76"/>
      <c r="E19" s="74"/>
      <c r="F19" s="74"/>
      <c r="G19" s="77">
        <f>SUM(G6:G18)</f>
        <v>90000</v>
      </c>
      <c r="H19" s="77">
        <f>SUM(H6:H18)</f>
        <v>379000</v>
      </c>
      <c r="I19" s="76"/>
      <c r="J19" s="76"/>
      <c r="K19" s="78"/>
      <c r="L19" s="78"/>
      <c r="M19" s="79"/>
      <c r="N19" s="80"/>
      <c r="O19" s="81"/>
      <c r="P19" s="81"/>
      <c r="Q19" s="81"/>
      <c r="R19" s="81"/>
      <c r="S19" s="82"/>
      <c r="T19" s="80"/>
      <c r="U19" s="81"/>
      <c r="V19" s="81"/>
      <c r="W19" s="81"/>
      <c r="X19" s="81"/>
      <c r="Y19" s="82"/>
      <c r="Z19" s="80"/>
      <c r="AA19" s="81"/>
      <c r="AB19" s="81"/>
      <c r="AC19" s="81"/>
      <c r="AD19" s="81"/>
      <c r="AE19" s="82"/>
      <c r="AF19" s="75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270">
        <f>SUM(AQ6:AQ18)</f>
        <v>75000</v>
      </c>
      <c r="AR19" s="271"/>
      <c r="AS19" s="270">
        <f>SUM(AS6:AS18)</f>
        <v>70000</v>
      </c>
      <c r="AT19" s="271"/>
      <c r="AU19" s="270">
        <f>SUM(AU6:AU18)</f>
        <v>63000</v>
      </c>
      <c r="AV19" s="271"/>
      <c r="AW19" s="270">
        <f>SUM(AW6:AW18)</f>
        <v>62000</v>
      </c>
      <c r="AX19" s="271"/>
      <c r="AY19" s="270">
        <f>SUM(AY6:AY18)</f>
        <v>56000</v>
      </c>
      <c r="AZ19" s="271"/>
      <c r="BA19" s="270">
        <f>SUM(BA6:BA18)</f>
        <v>53000</v>
      </c>
      <c r="BB19" s="271"/>
      <c r="BC19" s="80"/>
      <c r="BD19" s="81"/>
      <c r="BE19" s="81"/>
      <c r="BF19" s="81"/>
      <c r="BG19" s="74"/>
    </row>
    <row r="20" spans="1:59" ht="21.75" customHeight="1">
      <c r="F20" s="88"/>
      <c r="O20" s="88"/>
      <c r="P20" s="88"/>
      <c r="Q20" s="88"/>
      <c r="U20" s="88"/>
      <c r="V20" s="88"/>
      <c r="W20" s="88"/>
      <c r="AA20" s="88"/>
      <c r="AB20" s="88"/>
      <c r="AC20" s="88"/>
      <c r="BD20" s="88"/>
    </row>
    <row r="21" spans="1:59" ht="21.75" customHeight="1">
      <c r="F21" s="88"/>
      <c r="O21" s="92"/>
      <c r="P21" s="92"/>
      <c r="Q21" s="93"/>
      <c r="R21" s="88"/>
      <c r="S21" s="94"/>
      <c r="U21" s="92"/>
      <c r="V21" s="92"/>
      <c r="W21" s="93"/>
      <c r="X21" s="88"/>
      <c r="Y21" s="94"/>
      <c r="AA21" s="92"/>
      <c r="AB21" s="92"/>
      <c r="AC21" s="93"/>
      <c r="AD21" s="88"/>
      <c r="AE21" s="94"/>
      <c r="AF21" s="94"/>
      <c r="AT21" s="95"/>
      <c r="AU21" s="96"/>
      <c r="AW21" s="96"/>
      <c r="AY21" s="96"/>
      <c r="AZ21" s="95"/>
      <c r="BA21" s="96"/>
      <c r="BD21" s="92"/>
      <c r="BE21" s="96"/>
      <c r="BG21" s="96"/>
    </row>
    <row r="22" spans="1:59" ht="21.75" customHeight="1">
      <c r="O22" s="97"/>
      <c r="P22" s="97"/>
      <c r="Q22" s="97"/>
      <c r="R22" s="88"/>
      <c r="U22" s="97"/>
      <c r="V22" s="97"/>
      <c r="W22" s="97"/>
      <c r="X22" s="88"/>
      <c r="AA22" s="97"/>
      <c r="AB22" s="97"/>
      <c r="AC22" s="97"/>
      <c r="AD22" s="88"/>
      <c r="AT22" s="95"/>
      <c r="AU22" s="96"/>
      <c r="AW22" s="96"/>
      <c r="AY22" s="96"/>
      <c r="AZ22" s="95"/>
      <c r="BA22" s="96"/>
      <c r="BD22" s="97"/>
      <c r="BE22" s="96"/>
      <c r="BG22" s="96"/>
    </row>
    <row r="23" spans="1:59" s="90" customFormat="1" ht="21.75" customHeight="1">
      <c r="A23" s="83"/>
      <c r="B23" s="19"/>
      <c r="C23" s="84"/>
      <c r="D23" s="19"/>
      <c r="E23" s="87"/>
      <c r="F23" s="89"/>
      <c r="G23" s="85"/>
      <c r="H23" s="84"/>
      <c r="I23" s="85"/>
      <c r="J23" s="85"/>
      <c r="K23" s="86"/>
      <c r="L23" s="86"/>
      <c r="M23" s="89"/>
      <c r="N23" s="88"/>
      <c r="O23" s="97"/>
      <c r="P23" s="97"/>
      <c r="Q23" s="97"/>
      <c r="R23" s="88"/>
      <c r="T23" s="88"/>
      <c r="U23" s="97"/>
      <c r="V23" s="97"/>
      <c r="W23" s="97"/>
      <c r="X23" s="88"/>
      <c r="Z23" s="88"/>
      <c r="AA23" s="97"/>
      <c r="AB23" s="97"/>
      <c r="AC23" s="97"/>
      <c r="AD23" s="88"/>
      <c r="AT23" s="95"/>
      <c r="AU23" s="96"/>
      <c r="AV23" s="91"/>
      <c r="AW23" s="96"/>
      <c r="AX23" s="91"/>
      <c r="AY23" s="96"/>
      <c r="AZ23" s="95"/>
      <c r="BA23" s="96"/>
      <c r="BB23" s="91"/>
      <c r="BC23" s="88"/>
      <c r="BD23" s="97"/>
      <c r="BE23" s="96"/>
      <c r="BF23" s="91"/>
      <c r="BG23" s="96"/>
    </row>
    <row r="24" spans="1:59" s="90" customFormat="1" ht="21.75" customHeight="1">
      <c r="A24" s="83"/>
      <c r="B24" s="19"/>
      <c r="C24" s="84"/>
      <c r="D24" s="19"/>
      <c r="E24" s="87"/>
      <c r="F24" s="89"/>
      <c r="G24" s="85"/>
      <c r="H24" s="84"/>
      <c r="I24" s="85"/>
      <c r="J24" s="85"/>
      <c r="K24" s="86"/>
      <c r="L24" s="86"/>
      <c r="M24" s="89"/>
      <c r="N24" s="88"/>
      <c r="O24" s="88"/>
      <c r="P24" s="88"/>
      <c r="Q24" s="88"/>
      <c r="R24" s="88"/>
      <c r="T24" s="88"/>
      <c r="U24" s="88"/>
      <c r="V24" s="88"/>
      <c r="W24" s="88"/>
      <c r="X24" s="88"/>
      <c r="Z24" s="88"/>
      <c r="AA24" s="88"/>
      <c r="AB24" s="88"/>
      <c r="AC24" s="88"/>
      <c r="AD24" s="88"/>
      <c r="AT24" s="95"/>
      <c r="AU24" s="96"/>
      <c r="AV24" s="91"/>
      <c r="AW24" s="96"/>
      <c r="AX24" s="91"/>
      <c r="AY24" s="96"/>
      <c r="AZ24" s="95"/>
      <c r="BA24" s="96"/>
      <c r="BB24" s="91"/>
      <c r="BC24" s="88"/>
      <c r="BD24" s="88"/>
      <c r="BE24" s="96"/>
      <c r="BF24" s="91"/>
      <c r="BG24" s="96"/>
    </row>
    <row r="25" spans="1:59" s="90" customFormat="1" ht="21.75" customHeight="1">
      <c r="A25" s="83"/>
      <c r="B25" s="19"/>
      <c r="C25" s="84"/>
      <c r="D25" s="19"/>
      <c r="E25" s="87"/>
      <c r="F25" s="89"/>
      <c r="G25" s="85"/>
      <c r="H25" s="84"/>
      <c r="I25" s="85"/>
      <c r="J25" s="85"/>
      <c r="K25" s="86"/>
      <c r="L25" s="86"/>
      <c r="M25" s="89"/>
      <c r="N25" s="88"/>
      <c r="O25" s="88"/>
      <c r="P25" s="88"/>
      <c r="Q25" s="88"/>
      <c r="T25" s="88"/>
      <c r="U25" s="88"/>
      <c r="V25" s="88"/>
      <c r="W25" s="88"/>
      <c r="Z25" s="88"/>
      <c r="AA25" s="88"/>
      <c r="AB25" s="88"/>
      <c r="AC25" s="88"/>
      <c r="AT25" s="95"/>
      <c r="AU25" s="96"/>
      <c r="AV25" s="91"/>
      <c r="AW25" s="96"/>
      <c r="AX25" s="91"/>
      <c r="AY25" s="96"/>
      <c r="AZ25" s="95"/>
      <c r="BA25" s="96"/>
      <c r="BB25" s="91"/>
      <c r="BC25" s="88"/>
      <c r="BD25" s="88"/>
      <c r="BE25" s="96"/>
      <c r="BF25" s="91"/>
      <c r="BG25" s="96"/>
    </row>
    <row r="26" spans="1:59" s="90" customFormat="1" ht="21.75" customHeight="1">
      <c r="A26" s="83"/>
      <c r="B26" s="19"/>
      <c r="C26" s="84"/>
      <c r="D26" s="19"/>
      <c r="E26" s="87"/>
      <c r="F26" s="89"/>
      <c r="G26" s="85"/>
      <c r="H26" s="84"/>
      <c r="I26" s="85"/>
      <c r="J26" s="85"/>
      <c r="K26" s="86"/>
      <c r="L26" s="86"/>
      <c r="M26" s="89"/>
      <c r="N26" s="88"/>
      <c r="O26" s="88"/>
      <c r="P26" s="88"/>
      <c r="Q26" s="88"/>
      <c r="T26" s="88"/>
      <c r="U26" s="88"/>
      <c r="V26" s="88"/>
      <c r="W26" s="88"/>
      <c r="Z26" s="88"/>
      <c r="AA26" s="88"/>
      <c r="AB26" s="88"/>
      <c r="AC26" s="88"/>
      <c r="AT26" s="95"/>
      <c r="AU26" s="96"/>
      <c r="AV26" s="91"/>
      <c r="AW26" s="96"/>
      <c r="AX26" s="91"/>
      <c r="AY26" s="96"/>
      <c r="AZ26" s="95"/>
      <c r="BA26" s="96"/>
      <c r="BB26" s="91"/>
      <c r="BC26" s="88"/>
      <c r="BD26" s="88"/>
      <c r="BE26" s="96"/>
      <c r="BF26" s="91"/>
      <c r="BG26" s="96"/>
    </row>
    <row r="27" spans="1:59" s="90" customFormat="1" ht="21.75" customHeight="1">
      <c r="A27" s="83"/>
      <c r="B27" s="19"/>
      <c r="C27" s="84"/>
      <c r="D27" s="19"/>
      <c r="E27" s="87"/>
      <c r="F27" s="89"/>
      <c r="G27" s="85"/>
      <c r="H27" s="84"/>
      <c r="I27" s="85"/>
      <c r="J27" s="85"/>
      <c r="K27" s="86"/>
      <c r="L27" s="86"/>
      <c r="M27" s="89"/>
      <c r="N27" s="88"/>
      <c r="O27" s="88"/>
      <c r="P27" s="88"/>
      <c r="Q27" s="88"/>
      <c r="S27" s="94"/>
      <c r="T27" s="88"/>
      <c r="U27" s="88"/>
      <c r="V27" s="88"/>
      <c r="W27" s="88"/>
      <c r="Y27" s="94"/>
      <c r="Z27" s="88"/>
      <c r="AA27" s="88"/>
      <c r="AB27" s="88"/>
      <c r="AC27" s="88"/>
      <c r="AE27" s="94"/>
      <c r="AF27" s="94"/>
      <c r="AT27" s="95"/>
      <c r="AU27" s="96"/>
      <c r="AV27" s="91"/>
      <c r="AW27" s="96"/>
      <c r="AX27" s="91"/>
      <c r="AY27" s="96"/>
      <c r="AZ27" s="95"/>
      <c r="BA27" s="96"/>
      <c r="BB27" s="91"/>
      <c r="BC27" s="88"/>
      <c r="BD27" s="88"/>
      <c r="BE27" s="96"/>
      <c r="BF27" s="91"/>
      <c r="BG27" s="96"/>
    </row>
    <row r="28" spans="1:59" s="90" customFormat="1" ht="21.75" customHeight="1">
      <c r="A28" s="83"/>
      <c r="B28" s="19"/>
      <c r="C28" s="84"/>
      <c r="D28" s="19"/>
      <c r="E28" s="87"/>
      <c r="F28" s="89"/>
      <c r="G28" s="85"/>
      <c r="H28" s="84"/>
      <c r="I28" s="85"/>
      <c r="J28" s="85"/>
      <c r="K28" s="86"/>
      <c r="L28" s="86"/>
      <c r="M28" s="89"/>
      <c r="N28" s="88"/>
      <c r="O28" s="88"/>
      <c r="P28" s="88"/>
      <c r="T28" s="88"/>
      <c r="U28" s="88"/>
      <c r="V28" s="88"/>
      <c r="Z28" s="88"/>
      <c r="AA28" s="88"/>
      <c r="AB28" s="88"/>
      <c r="AT28" s="95"/>
      <c r="AU28" s="96"/>
      <c r="AV28" s="91"/>
      <c r="AW28" s="96"/>
      <c r="AX28" s="91"/>
      <c r="AY28" s="96"/>
      <c r="AZ28" s="95"/>
      <c r="BA28" s="96"/>
      <c r="BB28" s="91"/>
      <c r="BE28" s="96"/>
      <c r="BF28" s="91"/>
      <c r="BG28" s="96"/>
    </row>
    <row r="29" spans="1:59" s="90" customFormat="1" ht="21.75" customHeight="1">
      <c r="A29" s="83"/>
      <c r="B29" s="19"/>
      <c r="C29" s="84"/>
      <c r="D29" s="19"/>
      <c r="E29" s="87"/>
      <c r="F29" s="89"/>
      <c r="G29" s="85"/>
      <c r="H29" s="84"/>
      <c r="I29" s="85"/>
      <c r="J29" s="85"/>
      <c r="K29" s="86"/>
      <c r="L29" s="86"/>
      <c r="M29" s="89"/>
      <c r="N29" s="88"/>
      <c r="O29" s="88"/>
      <c r="P29" s="88"/>
      <c r="T29" s="88"/>
      <c r="U29" s="88"/>
      <c r="V29" s="88"/>
      <c r="Z29" s="88"/>
      <c r="AA29" s="88"/>
      <c r="AB29" s="88"/>
      <c r="AT29" s="95"/>
      <c r="AU29" s="96"/>
      <c r="AV29" s="91"/>
      <c r="AW29" s="96"/>
      <c r="AX29" s="91"/>
      <c r="AY29" s="96"/>
      <c r="AZ29" s="95"/>
      <c r="BA29" s="96"/>
      <c r="BB29" s="91"/>
      <c r="BE29" s="96"/>
      <c r="BF29" s="91"/>
      <c r="BG29" s="96"/>
    </row>
    <row r="30" spans="1:59" s="90" customFormat="1" ht="21.75" customHeight="1">
      <c r="A30" s="83"/>
      <c r="B30" s="19"/>
      <c r="C30" s="84"/>
      <c r="D30" s="19"/>
      <c r="E30" s="87"/>
      <c r="F30" s="89"/>
      <c r="G30" s="85"/>
      <c r="H30" s="84"/>
      <c r="I30" s="85"/>
      <c r="J30" s="85"/>
      <c r="K30" s="86"/>
      <c r="L30" s="86"/>
      <c r="M30" s="89"/>
      <c r="AT30" s="95"/>
      <c r="AU30" s="96"/>
      <c r="AV30" s="91"/>
      <c r="AW30" s="96"/>
      <c r="AX30" s="91"/>
      <c r="AY30" s="96"/>
      <c r="AZ30" s="95"/>
      <c r="BA30" s="96"/>
      <c r="BB30" s="91"/>
      <c r="BE30" s="96"/>
      <c r="BF30" s="91"/>
      <c r="BG30" s="96"/>
    </row>
    <row r="31" spans="1:59" s="90" customFormat="1" ht="21.75" customHeight="1">
      <c r="A31" s="83"/>
      <c r="B31" s="19"/>
      <c r="C31" s="84"/>
      <c r="D31" s="19"/>
      <c r="E31" s="87"/>
      <c r="F31" s="89"/>
      <c r="G31" s="85"/>
      <c r="H31" s="84"/>
      <c r="I31" s="85"/>
      <c r="J31" s="85"/>
      <c r="K31" s="86"/>
      <c r="L31" s="86"/>
      <c r="M31" s="89"/>
      <c r="AT31" s="95"/>
      <c r="AU31" s="96"/>
      <c r="AV31" s="91"/>
      <c r="AW31" s="96"/>
      <c r="AX31" s="91"/>
      <c r="AY31" s="96"/>
      <c r="AZ31" s="95"/>
      <c r="BA31" s="96"/>
      <c r="BB31" s="91"/>
      <c r="BE31" s="96"/>
      <c r="BF31" s="91"/>
      <c r="BG31" s="96"/>
    </row>
    <row r="32" spans="1:59" s="90" customFormat="1" ht="21.75" customHeight="1">
      <c r="A32" s="83"/>
      <c r="B32" s="19"/>
      <c r="C32" s="84"/>
      <c r="D32" s="19"/>
      <c r="E32" s="87"/>
      <c r="F32" s="89"/>
      <c r="G32" s="85"/>
      <c r="H32" s="84"/>
      <c r="I32" s="85"/>
      <c r="J32" s="85"/>
      <c r="K32" s="86"/>
      <c r="L32" s="86"/>
      <c r="M32" s="89"/>
      <c r="AT32" s="95"/>
      <c r="AU32" s="96"/>
      <c r="AV32" s="91"/>
      <c r="AW32" s="96"/>
      <c r="AX32" s="91"/>
      <c r="AY32" s="96"/>
      <c r="AZ32" s="95"/>
      <c r="BA32" s="96"/>
      <c r="BB32" s="91"/>
      <c r="BE32" s="96"/>
      <c r="BF32" s="91"/>
      <c r="BG32" s="96"/>
    </row>
    <row r="33" spans="1:59" s="90" customFormat="1" ht="21.75" customHeight="1">
      <c r="A33" s="83"/>
      <c r="B33" s="19"/>
      <c r="C33" s="84"/>
      <c r="D33" s="19"/>
      <c r="E33" s="87"/>
      <c r="F33" s="89"/>
      <c r="G33" s="85"/>
      <c r="H33" s="84"/>
      <c r="I33" s="85"/>
      <c r="J33" s="85"/>
      <c r="K33" s="86"/>
      <c r="L33" s="86"/>
      <c r="M33" s="89"/>
      <c r="AT33" s="95"/>
      <c r="AU33" s="96"/>
      <c r="AV33" s="91"/>
      <c r="AW33" s="96"/>
      <c r="AX33" s="91"/>
      <c r="AY33" s="96"/>
      <c r="AZ33" s="95"/>
      <c r="BA33" s="96"/>
      <c r="BB33" s="91"/>
      <c r="BE33" s="96"/>
      <c r="BF33" s="91"/>
      <c r="BG33" s="96"/>
    </row>
    <row r="34" spans="1:59" ht="21.75" customHeight="1"/>
    <row r="35" spans="1:59" ht="21.75" customHeight="1"/>
    <row r="36" spans="1:59" ht="21.75" customHeight="1"/>
    <row r="37" spans="1:59" ht="21.75" customHeight="1"/>
    <row r="38" spans="1:59" ht="21.75" customHeight="1"/>
    <row r="39" spans="1:59" ht="21.75" customHeight="1"/>
    <row r="40" spans="1:59" ht="21.75" customHeight="1"/>
    <row r="41" spans="1:59" s="89" customFormat="1" ht="21.75" customHeight="1">
      <c r="A41" s="83"/>
      <c r="B41" s="19"/>
      <c r="C41" s="84"/>
      <c r="D41" s="19"/>
      <c r="E41" s="87"/>
      <c r="G41" s="85"/>
      <c r="H41" s="84"/>
      <c r="I41" s="85"/>
      <c r="J41" s="85"/>
      <c r="K41" s="85"/>
      <c r="L41" s="85"/>
      <c r="N41" s="90"/>
      <c r="O41" s="90"/>
      <c r="P41" s="90"/>
      <c r="Q41" s="90"/>
      <c r="R41" s="90"/>
      <c r="T41" s="90"/>
      <c r="U41" s="90"/>
      <c r="V41" s="90"/>
      <c r="W41" s="90"/>
      <c r="X41" s="90"/>
      <c r="Z41" s="90"/>
      <c r="AA41" s="90"/>
      <c r="AB41" s="90"/>
      <c r="AC41" s="90"/>
      <c r="AD41" s="90"/>
      <c r="AT41" s="85"/>
      <c r="AV41" s="91"/>
      <c r="AX41" s="91"/>
      <c r="AZ41" s="85"/>
      <c r="BB41" s="91"/>
      <c r="BC41" s="90"/>
      <c r="BD41" s="90"/>
      <c r="BF41" s="91"/>
    </row>
  </sheetData>
  <mergeCells count="32">
    <mergeCell ref="N2:P2"/>
    <mergeCell ref="AL1:AM3"/>
    <mergeCell ref="W1:Y1"/>
    <mergeCell ref="W3:Y3"/>
    <mergeCell ref="N1:P1"/>
    <mergeCell ref="AG1:AK3"/>
    <mergeCell ref="Q1:S1"/>
    <mergeCell ref="N3:P3"/>
    <mergeCell ref="Z1:AB1"/>
    <mergeCell ref="AC1:AE1"/>
    <mergeCell ref="Z2:AB2"/>
    <mergeCell ref="AC2:AE2"/>
    <mergeCell ref="Z3:AB3"/>
    <mergeCell ref="AC3:AE3"/>
    <mergeCell ref="BE1:BE4"/>
    <mergeCell ref="AN1:AP3"/>
    <mergeCell ref="T2:V2"/>
    <mergeCell ref="BG1:BG4"/>
    <mergeCell ref="T1:V1"/>
    <mergeCell ref="BF1:BF4"/>
    <mergeCell ref="AF1:AF4"/>
    <mergeCell ref="AQ19:AR19"/>
    <mergeCell ref="Q2:S2"/>
    <mergeCell ref="W2:Y2"/>
    <mergeCell ref="AQ1:BB3"/>
    <mergeCell ref="AS19:AT19"/>
    <mergeCell ref="AU19:AV19"/>
    <mergeCell ref="T3:V3"/>
    <mergeCell ref="Q3:S3"/>
    <mergeCell ref="AW19:AX19"/>
    <mergeCell ref="AY19:AZ19"/>
    <mergeCell ref="BA19:BB19"/>
  </mergeCells>
  <conditionalFormatting sqref="N1:N5 AN4:BB5 AN6:AR10 AU6:AV10 AY6:AZ10 AN12:AR14 BC16:BD16 AU18:AV18 AY18:AZ18 BC19 BD19:BD1048576 AQ20:BB1048576 BC23:BC1048576 AF19:AF1048576 AJ16:AK16 AF6:AF10 AF12:AK14 AF18:AR18 N19:AE19 N23:AE1048576 N16:AH16 AU12:AV14 AY12:AZ14">
    <cfRule type="containsErrors" dxfId="41" priority="93">
      <formula>ISERROR(N1)</formula>
    </cfRule>
  </conditionalFormatting>
  <conditionalFormatting sqref="N3">
    <cfRule type="expression" dxfId="40" priority="101">
      <formula>#REF!="X"</formula>
    </cfRule>
  </conditionalFormatting>
  <conditionalFormatting sqref="N11 T11">
    <cfRule type="containsErrors" dxfId="39" priority="97">
      <formula>ISERROR(N11)</formula>
    </cfRule>
  </conditionalFormatting>
  <conditionalFormatting sqref="N17 T17">
    <cfRule type="containsErrors" dxfId="38" priority="49">
      <formula>ISERROR(N17)</formula>
    </cfRule>
  </conditionalFormatting>
  <conditionalFormatting sqref="AN16:AO16">
    <cfRule type="containsErrors" dxfId="37" priority="50">
      <formula>ISERROR(AN16)</formula>
    </cfRule>
  </conditionalFormatting>
  <conditionalFormatting sqref="O4:S4 U4:Y4 AA4:AE4 AL6:AL10 AL12:AL14">
    <cfRule type="containsErrors" dxfId="36" priority="103">
      <formula>ISERROR(O4)</formula>
    </cfRule>
  </conditionalFormatting>
  <conditionalFormatting sqref="P6:S10">
    <cfRule type="containsErrors" dxfId="35" priority="86">
      <formula>ISERROR(P6)</formula>
    </cfRule>
  </conditionalFormatting>
  <conditionalFormatting sqref="P18:S18 P12:S14">
    <cfRule type="containsErrors" dxfId="34" priority="85">
      <formula>ISERROR(P12)</formula>
    </cfRule>
  </conditionalFormatting>
  <conditionalFormatting sqref="Q1:Q3 W1:W3 AC1:AC3 AG4 AI4:AJ4 AG5:AL5 AH6:AI10 AN19:AQ19 AS19 AU19 AW19 AY19 BA19 BE19 F20:F21 O20:S22 U20:Y22 AA20:AE22 AH20:AN1048576">
    <cfRule type="containsErrors" dxfId="33" priority="104">
      <formula>ISERROR(F1)</formula>
    </cfRule>
  </conditionalFormatting>
  <conditionalFormatting sqref="Q2:Q3">
    <cfRule type="expression" dxfId="32" priority="102">
      <formula>#REF!="X"</formula>
    </cfRule>
  </conditionalFormatting>
  <conditionalFormatting sqref="T1:T5">
    <cfRule type="containsErrors" dxfId="31" priority="36">
      <formula>ISERROR(T1)</formula>
    </cfRule>
  </conditionalFormatting>
  <conditionalFormatting sqref="T3">
    <cfRule type="expression" dxfId="30" priority="67">
      <formula>#REF!="X"</formula>
    </cfRule>
  </conditionalFormatting>
  <conditionalFormatting sqref="V6:Y10 AB6:AE10">
    <cfRule type="containsErrors" dxfId="29" priority="65">
      <formula>ISERROR(V6)</formula>
    </cfRule>
  </conditionalFormatting>
  <conditionalFormatting sqref="V18:Y18 AB18:AE18 V12:Y14 AB12:AE14">
    <cfRule type="containsErrors" dxfId="28" priority="64">
      <formula>ISERROR(V12)</formula>
    </cfRule>
  </conditionalFormatting>
  <conditionalFormatting sqref="W2:W3">
    <cfRule type="expression" dxfId="27" priority="68">
      <formula>#REF!="X"</formula>
    </cfRule>
  </conditionalFormatting>
  <conditionalFormatting sqref="Z1:Z5">
    <cfRule type="containsErrors" dxfId="26" priority="35">
      <formula>ISERROR(Z1)</formula>
    </cfRule>
  </conditionalFormatting>
  <conditionalFormatting sqref="Z3">
    <cfRule type="expression" dxfId="25" priority="39">
      <formula>#REF!="X"</formula>
    </cfRule>
  </conditionalFormatting>
  <conditionalFormatting sqref="Z11">
    <cfRule type="containsErrors" dxfId="24" priority="41">
      <formula>ISERROR(Z11)</formula>
    </cfRule>
  </conditionalFormatting>
  <conditionalFormatting sqref="Z17">
    <cfRule type="containsErrors" dxfId="23" priority="37">
      <formula>ISERROR(Z17)</formula>
    </cfRule>
  </conditionalFormatting>
  <conditionalFormatting sqref="AC2:AC3">
    <cfRule type="expression" dxfId="22" priority="40">
      <formula>#REF!="X"</formula>
    </cfRule>
  </conditionalFormatting>
  <conditionalFormatting sqref="AG6:AG10">
    <cfRule type="containsErrors" dxfId="21" priority="96">
      <formula>ISERROR(AG6)</formula>
    </cfRule>
  </conditionalFormatting>
  <conditionalFormatting sqref="AG11:BC11">
    <cfRule type="containsErrors" dxfId="20" priority="83">
      <formula>ISERROR(AG11)</formula>
    </cfRule>
  </conditionalFormatting>
  <conditionalFormatting sqref="AG17:BC17">
    <cfRule type="containsErrors" dxfId="19" priority="48">
      <formula>ISERROR(AG17)</formula>
    </cfRule>
  </conditionalFormatting>
  <conditionalFormatting sqref="AJ6:AK10">
    <cfRule type="containsErrors" dxfId="18" priority="100">
      <formula>ISERROR(AJ6)</formula>
    </cfRule>
  </conditionalFormatting>
  <conditionalFormatting sqref="AM4:AM10">
    <cfRule type="containsErrors" dxfId="17" priority="78">
      <formula>ISERROR(AM4)</formula>
    </cfRule>
  </conditionalFormatting>
  <conditionalFormatting sqref="AM12:AM14">
    <cfRule type="containsErrors" dxfId="16" priority="77">
      <formula>ISERROR(AM12)</formula>
    </cfRule>
  </conditionalFormatting>
  <conditionalFormatting sqref="AQ1">
    <cfRule type="containsErrors" dxfId="15" priority="75">
      <formula>ISERROR(AQ1)</formula>
    </cfRule>
  </conditionalFormatting>
  <conditionalFormatting sqref="BC1:BC5">
    <cfRule type="containsErrors" dxfId="14" priority="81">
      <formula>ISERROR(BC1)</formula>
    </cfRule>
  </conditionalFormatting>
  <conditionalFormatting sqref="BC3">
    <cfRule type="expression" dxfId="13" priority="84">
      <formula>#REF!="X"</formula>
    </cfRule>
  </conditionalFormatting>
  <conditionalFormatting sqref="BD1:BD4">
    <cfRule type="containsErrors" dxfId="12" priority="80">
      <formula>ISERROR(BD1)</formula>
    </cfRule>
  </conditionalFormatting>
  <conditionalFormatting sqref="BD2:BD3">
    <cfRule type="expression" dxfId="11" priority="82">
      <formula>#REF!="X"</formula>
    </cfRule>
  </conditionalFormatting>
  <conditionalFormatting sqref="BE20:BG1048576">
    <cfRule type="containsErrors" dxfId="10" priority="99">
      <formula>ISERROR(BE20)</formula>
    </cfRule>
  </conditionalFormatting>
  <conditionalFormatting sqref="N15 T15">
    <cfRule type="containsErrors" dxfId="2" priority="3">
      <formula>ISERROR(N15)</formula>
    </cfRule>
  </conditionalFormatting>
  <conditionalFormatting sqref="Z15">
    <cfRule type="containsErrors" dxfId="1" priority="1">
      <formula>ISERROR(Z15)</formula>
    </cfRule>
  </conditionalFormatting>
  <conditionalFormatting sqref="AG15:BC15">
    <cfRule type="containsErrors" dxfId="0" priority="2">
      <formula>ISERROR(AG15)</formula>
    </cfRule>
  </conditionalFormatting>
  <dataValidations disablePrompts="1" count="5">
    <dataValidation type="list" allowBlank="1" showInputMessage="1" showErrorMessage="1" sqref="AL17:AL18 AL5:AL15" xr:uid="{00000000-0002-0000-0000-000000000000}">
      <formula1>"Y,,"</formula1>
      <formula2>0</formula2>
    </dataValidation>
    <dataValidation type="list" allowBlank="1" showInputMessage="1" showErrorMessage="1" sqref="A3" xr:uid="{00000000-0002-0000-0000-000001000000}">
      <formula1>"USA,CANADA"</formula1>
      <formula2>0</formula2>
    </dataValidation>
    <dataValidation type="list" allowBlank="1" showInputMessage="1" showErrorMessage="1" sqref="B3" xr:uid="{00000000-0002-0000-0000-000003000000}">
      <formula1>"Hanging,Flat,Special"</formula1>
      <formula2>0</formula2>
    </dataValidation>
    <dataValidation type="list" allowBlank="1" showInputMessage="1" showErrorMessage="1" sqref="B1" xr:uid="{00000000-0002-0000-0000-000004000000}">
      <formula1>"Mens,Ladies,Boys,Girls,Infant,Toddler"</formula1>
      <formula2>0</formula2>
    </dataValidation>
    <dataValidation type="list" allowBlank="1" showErrorMessage="1" errorTitle="incorrect" error="Entry or Spelling is incorrect" promptTitle="Incorrect" prompt="Entry or Spelling is incorrect" sqref="Q2:S2 BD2 W2:Y2 AC2:AE2" xr:uid="{00000000-0002-0000-0000-000005000000}">
      <formula1>"DUTY FREE,FCA,CIF,FIRST SALE,FOB,CPTPP"</formula1>
      <formula2>0</formula2>
    </dataValidation>
  </dataValidations>
  <pageMargins left="0.25" right="0" top="0.75" bottom="0" header="0.3" footer="0.3"/>
  <pageSetup paperSize="77" fitToHeight="0" orientation="landscape" horizontalDpi="300" verticalDpi="300"/>
  <headerFooter>
    <oddHeader>&amp;L&amp;20 PRINTED: &amp;D &amp;T</oddHeader>
    <oddFooter>&amp;C&amp;16 &amp;P OF &amp;N</oddFooter>
  </headerFooter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ECE5B61-C7FB-0B40-888B-A0FE33F28F4B}">
          <x14:formula1>
            <xm:f>Internal!$Z$1:$Z$48</xm:f>
          </x14:formula1>
          <xm:sqref>N2:P2 T2:V2 Z2:AB2</xm:sqref>
        </x14:dataValidation>
        <x14:dataValidation type="list" allowBlank="1" showInputMessage="1" showErrorMessage="1" xr:uid="{C96A1C04-EBC1-004C-B2B6-604E31D130B3}">
          <x14:formula1>
            <xm:f>Internal!$B$2:$B$16</xm:f>
          </x14:formula1>
          <xm:sqref>N3:P3 Z3:AB3 T3:V3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9"/>
  <sheetViews>
    <sheetView zoomScaleNormal="100" workbookViewId="0">
      <selection activeCell="I10" sqref="I10"/>
    </sheetView>
  </sheetViews>
  <sheetFormatPr baseColWidth="10" defaultColWidth="8.83203125" defaultRowHeight="15"/>
  <cols>
    <col min="1" max="1" width="51.5" customWidth="1"/>
    <col min="2" max="2" width="19.1640625" customWidth="1"/>
    <col min="3" max="3" width="8.1640625" customWidth="1"/>
    <col min="4" max="4" width="8.33203125" customWidth="1"/>
    <col min="5" max="5" width="18.5" customWidth="1"/>
    <col min="6" max="6" width="16.5" customWidth="1"/>
    <col min="7" max="7" width="9.6640625" customWidth="1"/>
    <col min="9" max="9" width="8.6640625" customWidth="1"/>
    <col min="10" max="10" width="7.5" customWidth="1"/>
    <col min="11" max="11" width="22.33203125" customWidth="1"/>
  </cols>
  <sheetData>
    <row r="1" spans="1:11" ht="91.5" customHeight="1">
      <c r="A1" s="20" t="s">
        <v>85</v>
      </c>
      <c r="B1" s="20" t="s">
        <v>86</v>
      </c>
      <c r="C1" s="21" t="s">
        <v>87</v>
      </c>
      <c r="D1" s="22" t="s">
        <v>88</v>
      </c>
      <c r="E1" s="22" t="s">
        <v>89</v>
      </c>
      <c r="F1" s="22" t="s">
        <v>90</v>
      </c>
      <c r="G1" s="23" t="s">
        <v>91</v>
      </c>
      <c r="H1" s="23" t="s">
        <v>92</v>
      </c>
      <c r="I1" s="23" t="s">
        <v>93</v>
      </c>
      <c r="J1" s="24" t="s">
        <v>94</v>
      </c>
      <c r="K1" s="25" t="s">
        <v>95</v>
      </c>
    </row>
    <row r="2" spans="1:11" ht="15" customHeight="1">
      <c r="A2" s="26"/>
      <c r="B2" s="27"/>
      <c r="C2" s="26"/>
      <c r="D2" s="28"/>
      <c r="E2" s="28"/>
      <c r="F2" s="28"/>
      <c r="G2" s="28"/>
      <c r="H2" s="28"/>
      <c r="I2" s="28"/>
      <c r="J2" s="29"/>
      <c r="K2" s="26"/>
    </row>
    <row r="3" spans="1:11" ht="15" customHeight="1">
      <c r="A3" s="26"/>
      <c r="B3" s="27"/>
      <c r="C3" s="26"/>
      <c r="D3" s="28"/>
      <c r="E3" s="28"/>
      <c r="F3" s="28"/>
      <c r="G3" s="28"/>
      <c r="H3" s="28"/>
      <c r="I3" s="28"/>
      <c r="J3" s="29"/>
      <c r="K3" s="26"/>
    </row>
    <row r="4" spans="1:11" ht="15" customHeight="1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</row>
    <row r="5" spans="1:11" ht="15.75" customHeight="1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</row>
    <row r="6" spans="1:11" ht="15.75" customHeight="1">
      <c r="A6" s="31" t="s">
        <v>96</v>
      </c>
      <c r="B6" s="32" t="s">
        <v>97</v>
      </c>
      <c r="C6" s="30"/>
      <c r="D6" s="30"/>
      <c r="E6" s="30"/>
      <c r="F6" s="30"/>
      <c r="G6" s="30"/>
      <c r="H6" s="30"/>
      <c r="I6" s="30"/>
      <c r="J6" s="30"/>
      <c r="K6" s="30"/>
    </row>
    <row r="7" spans="1:11" ht="15.75" customHeight="1">
      <c r="A7" s="33" t="s">
        <v>98</v>
      </c>
      <c r="B7" s="34"/>
      <c r="C7" s="30"/>
      <c r="D7" s="30"/>
      <c r="E7" s="30"/>
      <c r="F7" s="30"/>
      <c r="G7" s="30"/>
      <c r="H7" s="30"/>
      <c r="I7" s="30"/>
      <c r="J7" s="30"/>
      <c r="K7" s="30"/>
    </row>
    <row r="8" spans="1:11" ht="15.75" customHeight="1">
      <c r="A8" s="33" t="s">
        <v>99</v>
      </c>
      <c r="B8" s="34"/>
      <c r="C8" s="30"/>
      <c r="D8" s="30"/>
      <c r="E8" s="30"/>
      <c r="F8" s="30"/>
      <c r="G8" s="30"/>
      <c r="H8" s="30"/>
      <c r="I8" s="30"/>
      <c r="J8" s="30"/>
      <c r="K8" s="30"/>
    </row>
    <row r="9" spans="1:11" ht="15.75" customHeight="1">
      <c r="A9" s="33" t="s">
        <v>100</v>
      </c>
      <c r="B9" s="34"/>
      <c r="C9" s="30"/>
      <c r="D9" s="30"/>
      <c r="E9" s="30"/>
      <c r="F9" s="30"/>
      <c r="G9" s="30"/>
      <c r="H9" s="30"/>
      <c r="I9" s="30"/>
      <c r="J9" s="30"/>
      <c r="K9" s="30"/>
    </row>
    <row r="10" spans="1:11" ht="15.75" customHeight="1">
      <c r="A10" s="33" t="s">
        <v>101</v>
      </c>
      <c r="B10" s="34"/>
      <c r="C10" s="30"/>
      <c r="D10" s="30"/>
      <c r="E10" s="30"/>
      <c r="F10" s="30"/>
      <c r="G10" s="30"/>
      <c r="H10" s="30"/>
      <c r="I10" s="30"/>
      <c r="J10" s="30"/>
      <c r="K10" s="30"/>
    </row>
    <row r="11" spans="1:11" ht="15.75" customHeight="1">
      <c r="A11" s="33" t="s">
        <v>102</v>
      </c>
      <c r="B11" s="34"/>
      <c r="C11" s="30"/>
      <c r="D11" s="30"/>
      <c r="E11" s="30"/>
      <c r="F11" s="30"/>
      <c r="G11" s="30"/>
      <c r="H11" s="30"/>
      <c r="I11" s="30"/>
      <c r="J11" s="30"/>
      <c r="K11" s="30"/>
    </row>
    <row r="12" spans="1:11" ht="15.75" customHeight="1">
      <c r="A12" s="33"/>
      <c r="B12" s="35"/>
      <c r="C12" s="30"/>
      <c r="D12" s="30"/>
      <c r="E12" s="30"/>
      <c r="F12" s="30"/>
      <c r="G12" s="30"/>
      <c r="H12" s="30"/>
      <c r="I12" s="30"/>
      <c r="J12" s="30"/>
      <c r="K12" s="30"/>
    </row>
    <row r="13" spans="1:11" ht="18" customHeight="1">
      <c r="A13" s="36" t="s">
        <v>103</v>
      </c>
      <c r="B13" s="34"/>
      <c r="C13" s="30"/>
      <c r="D13" s="30"/>
      <c r="E13" s="30"/>
      <c r="F13" s="30"/>
      <c r="G13" s="30"/>
      <c r="H13" s="30"/>
      <c r="I13" s="30"/>
      <c r="J13" s="30"/>
      <c r="K13" s="30"/>
    </row>
    <row r="14" spans="1:11" ht="18" customHeight="1">
      <c r="A14" s="36" t="s">
        <v>104</v>
      </c>
      <c r="B14" s="34"/>
      <c r="C14" s="30"/>
      <c r="D14" s="30"/>
      <c r="E14" s="30"/>
      <c r="F14" s="30"/>
      <c r="G14" s="30"/>
      <c r="H14" s="30"/>
      <c r="I14" s="30"/>
      <c r="J14" s="30"/>
      <c r="K14" s="30"/>
    </row>
    <row r="15" spans="1:11" ht="15.75" customHeight="1">
      <c r="A15" s="37"/>
      <c r="B15" s="38"/>
      <c r="C15" s="30"/>
      <c r="D15" s="30"/>
      <c r="E15" s="30"/>
      <c r="F15" s="30"/>
      <c r="G15" s="30"/>
      <c r="H15" s="30"/>
      <c r="I15" s="30"/>
      <c r="J15" s="30"/>
      <c r="K15" s="30"/>
    </row>
    <row r="16" spans="1:11" ht="18" customHeight="1">
      <c r="A16" s="36" t="s">
        <v>105</v>
      </c>
      <c r="B16" s="34"/>
      <c r="C16" s="30"/>
      <c r="D16" s="30"/>
      <c r="E16" s="30"/>
      <c r="F16" s="30"/>
      <c r="G16" s="30"/>
      <c r="H16" s="30"/>
      <c r="I16" s="30"/>
      <c r="J16" s="30"/>
      <c r="K16" s="30"/>
    </row>
    <row r="17" spans="1:11" ht="18" customHeight="1">
      <c r="A17" s="36" t="s">
        <v>106</v>
      </c>
      <c r="B17" s="34"/>
      <c r="C17" s="30"/>
      <c r="D17" s="30"/>
      <c r="E17" s="30"/>
      <c r="F17" s="30"/>
      <c r="G17" s="30"/>
      <c r="H17" s="30"/>
      <c r="I17" s="30"/>
      <c r="J17" s="30"/>
      <c r="K17" s="30"/>
    </row>
    <row r="18" spans="1:11" ht="15.75" customHeight="1">
      <c r="A18" s="39"/>
      <c r="B18" s="40"/>
      <c r="C18" s="30"/>
      <c r="D18" s="30"/>
      <c r="E18" s="30"/>
      <c r="F18" s="30"/>
      <c r="G18" s="30"/>
      <c r="H18" s="30"/>
      <c r="I18" s="30"/>
      <c r="J18" s="30"/>
      <c r="K18" s="30"/>
    </row>
    <row r="19" spans="1:11" ht="15.75" customHeight="1">
      <c r="A19" s="39"/>
      <c r="B19" s="40"/>
      <c r="C19" s="30"/>
      <c r="D19" s="30"/>
      <c r="E19" s="30"/>
      <c r="F19" s="30"/>
      <c r="G19" s="30"/>
      <c r="H19" s="30"/>
      <c r="I19" s="30"/>
      <c r="J19" s="30"/>
      <c r="K19" s="30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16"/>
  <sheetViews>
    <sheetView zoomScaleNormal="100" workbookViewId="0">
      <pane xSplit="1" ySplit="2" topLeftCell="N3" activePane="bottomRight" state="frozen"/>
      <selection pane="topRight"/>
      <selection pane="bottomLeft"/>
      <selection pane="bottomRight" activeCell="J7" sqref="J7"/>
    </sheetView>
  </sheetViews>
  <sheetFormatPr baseColWidth="10" defaultColWidth="11.5" defaultRowHeight="12"/>
  <cols>
    <col min="1" max="1" width="20.5" style="73" bestFit="1" customWidth="1"/>
    <col min="2" max="2" width="9.1640625" style="73" bestFit="1" customWidth="1"/>
    <col min="3" max="3" width="13.5" style="73" bestFit="1" customWidth="1"/>
    <col min="4" max="4" width="10.1640625" style="73" bestFit="1" customWidth="1"/>
    <col min="5" max="5" width="9.1640625" style="73" bestFit="1" customWidth="1"/>
    <col min="6" max="6" width="10" style="73" bestFit="1" customWidth="1"/>
    <col min="7" max="7" width="9.6640625" style="240" bestFit="1" customWidth="1"/>
    <col min="8" max="8" width="12.83203125" style="73" bestFit="1" customWidth="1"/>
    <col min="9" max="9" width="14" style="73" bestFit="1" customWidth="1"/>
    <col min="10" max="10" width="16" style="73" bestFit="1" customWidth="1"/>
    <col min="11" max="11" width="11.1640625" style="73" bestFit="1" customWidth="1"/>
    <col min="12" max="12" width="11.5" style="73" bestFit="1" customWidth="1"/>
    <col min="13" max="13" width="9.1640625" style="73" bestFit="1" customWidth="1"/>
    <col min="14" max="14" width="9.83203125" style="73" bestFit="1" customWidth="1"/>
    <col min="15" max="15" width="6.6640625" style="73" customWidth="1"/>
    <col min="16" max="16" width="18.33203125" style="73" bestFit="1" customWidth="1"/>
    <col min="17" max="18" width="11.83203125" style="73" bestFit="1" customWidth="1"/>
    <col min="19" max="19" width="14.1640625" style="73" bestFit="1" customWidth="1"/>
    <col min="20" max="20" width="13.6640625" style="73" bestFit="1" customWidth="1"/>
    <col min="21" max="21" width="12" style="73" bestFit="1" customWidth="1"/>
    <col min="22" max="22" width="9.5" style="73" bestFit="1" customWidth="1"/>
    <col min="23" max="23" width="17.1640625" style="242" bestFit="1" customWidth="1"/>
    <col min="24" max="24" width="12.5" style="73" bestFit="1" customWidth="1"/>
    <col min="25" max="25" width="18.5" style="73" bestFit="1" customWidth="1"/>
    <col min="26" max="26" width="57.1640625" style="73" bestFit="1" customWidth="1"/>
    <col min="27" max="28" width="13.83203125" style="73" bestFit="1" customWidth="1"/>
    <col min="29" max="29" width="13.5" style="73" bestFit="1" customWidth="1"/>
    <col min="30" max="30" width="13.6640625" style="73" bestFit="1" customWidth="1"/>
    <col min="31" max="31" width="11.5" style="73" bestFit="1" customWidth="1"/>
    <col min="32" max="32" width="11.6640625" style="73" bestFit="1" customWidth="1"/>
    <col min="33" max="33" width="15.6640625" style="73" bestFit="1" customWidth="1"/>
    <col min="34" max="34" width="11.83203125" style="73" bestFit="1" customWidth="1"/>
    <col min="35" max="35" width="10.1640625" style="73" bestFit="1" customWidth="1"/>
    <col min="36" max="36" width="13.6640625" style="73" bestFit="1" customWidth="1"/>
    <col min="37" max="37" width="13.5" style="73" bestFit="1" customWidth="1"/>
    <col min="38" max="38" width="14.33203125" style="73" bestFit="1" customWidth="1"/>
    <col min="39" max="39" width="12.6640625" style="243" bestFit="1" customWidth="1"/>
    <col min="40" max="40" width="15.83203125" style="243" bestFit="1" customWidth="1"/>
    <col min="41" max="42" width="9.5" style="73" customWidth="1"/>
    <col min="43" max="43" width="8.1640625" style="73" customWidth="1"/>
    <col min="44" max="44" width="13.6640625" style="73" customWidth="1"/>
    <col min="45" max="46" width="13.6640625" style="242" customWidth="1"/>
    <col min="47" max="47" width="14" style="242" customWidth="1"/>
    <col min="48" max="48" width="9.83203125" style="242" customWidth="1"/>
    <col min="49" max="49" width="9.1640625" style="242" customWidth="1"/>
    <col min="50" max="54" width="11.5" style="73"/>
    <col min="55" max="55" width="10.1640625" style="242" customWidth="1"/>
    <col min="56" max="56" width="8.83203125" style="73" customWidth="1"/>
    <col min="57" max="59" width="12.1640625" style="242" customWidth="1"/>
    <col min="60" max="60" width="14.83203125" style="73" customWidth="1"/>
    <col min="61" max="61" width="15.83203125" style="73" customWidth="1"/>
    <col min="62" max="16384" width="11.5" style="73"/>
  </cols>
  <sheetData>
    <row r="1" spans="1:59" ht="20" customHeight="1" thickBot="1">
      <c r="A1" s="238" t="s">
        <v>15</v>
      </c>
      <c r="B1" s="239"/>
      <c r="C1" s="303" t="s">
        <v>107</v>
      </c>
      <c r="D1" s="300"/>
      <c r="E1" s="300"/>
      <c r="F1" s="300"/>
      <c r="G1" s="304"/>
      <c r="H1" s="300"/>
      <c r="I1" s="300"/>
      <c r="J1" s="300"/>
      <c r="K1" s="306" t="s">
        <v>108</v>
      </c>
      <c r="L1" s="306"/>
      <c r="M1" s="306"/>
      <c r="N1" s="306"/>
      <c r="O1" s="306"/>
      <c r="P1" s="241"/>
      <c r="Q1" s="305" t="s">
        <v>109</v>
      </c>
      <c r="R1" s="300"/>
      <c r="S1" s="300"/>
      <c r="T1" s="300"/>
      <c r="U1" s="299" t="s">
        <v>110</v>
      </c>
      <c r="V1" s="300"/>
      <c r="W1" s="301"/>
      <c r="X1" s="300"/>
      <c r="Y1" s="300"/>
      <c r="Z1" s="300"/>
      <c r="AA1" s="300"/>
      <c r="AB1" s="300"/>
      <c r="AC1" s="300"/>
      <c r="AD1" s="300"/>
      <c r="AE1" s="300"/>
      <c r="AF1" s="300"/>
      <c r="AG1" s="300"/>
      <c r="AH1" s="300"/>
      <c r="AI1" s="300"/>
      <c r="AJ1" s="300"/>
      <c r="AK1" s="300"/>
      <c r="AL1" s="300"/>
      <c r="AM1" s="302"/>
      <c r="AN1" s="302"/>
      <c r="AO1" s="244"/>
      <c r="AP1" s="244"/>
      <c r="AQ1" s="244"/>
      <c r="AR1" s="244"/>
      <c r="AS1" s="244"/>
      <c r="AT1" s="244"/>
      <c r="AU1" s="244"/>
      <c r="AV1" s="244"/>
      <c r="AW1" s="244"/>
      <c r="AX1" s="244"/>
      <c r="AY1" s="244"/>
      <c r="AZ1" s="244"/>
      <c r="BA1" s="244"/>
      <c r="BB1" s="244"/>
      <c r="BC1" s="244"/>
      <c r="BD1" s="244"/>
      <c r="BE1" s="244"/>
      <c r="BF1" s="244"/>
      <c r="BG1" s="244"/>
    </row>
    <row r="2" spans="1:59" s="253" customFormat="1" ht="36" customHeight="1" thickBot="1">
      <c r="A2" s="245" t="s">
        <v>111</v>
      </c>
      <c r="B2" s="245" t="s">
        <v>112</v>
      </c>
      <c r="C2" s="245" t="s">
        <v>113</v>
      </c>
      <c r="D2" s="245" t="s">
        <v>114</v>
      </c>
      <c r="E2" s="245" t="s">
        <v>115</v>
      </c>
      <c r="F2" s="245" t="s">
        <v>116</v>
      </c>
      <c r="G2" s="246" t="s">
        <v>117</v>
      </c>
      <c r="H2" s="245" t="s">
        <v>118</v>
      </c>
      <c r="I2" s="245" t="s">
        <v>119</v>
      </c>
      <c r="J2" s="245" t="s">
        <v>120</v>
      </c>
      <c r="K2" s="261" t="s">
        <v>121</v>
      </c>
      <c r="L2" s="261" t="s">
        <v>122</v>
      </c>
      <c r="M2" s="261" t="s">
        <v>12</v>
      </c>
      <c r="N2" s="261" t="s">
        <v>123</v>
      </c>
      <c r="O2" s="261" t="s">
        <v>30</v>
      </c>
      <c r="P2" s="247" t="s">
        <v>124</v>
      </c>
      <c r="Q2" s="248" t="s">
        <v>125</v>
      </c>
      <c r="R2" s="249" t="s">
        <v>126</v>
      </c>
      <c r="S2" s="249" t="s">
        <v>127</v>
      </c>
      <c r="T2" s="250" t="s">
        <v>128</v>
      </c>
      <c r="U2" s="251" t="s">
        <v>129</v>
      </c>
      <c r="V2" s="251" t="s">
        <v>130</v>
      </c>
      <c r="W2" s="251" t="s">
        <v>131</v>
      </c>
      <c r="X2" s="251" t="s">
        <v>132</v>
      </c>
      <c r="Y2" s="251" t="s">
        <v>133</v>
      </c>
      <c r="Z2" s="251" t="s">
        <v>134</v>
      </c>
      <c r="AA2" s="252" t="s">
        <v>135</v>
      </c>
      <c r="AB2" s="252" t="s">
        <v>136</v>
      </c>
      <c r="AC2" s="252" t="s">
        <v>137</v>
      </c>
      <c r="AD2" s="252" t="s">
        <v>138</v>
      </c>
      <c r="AE2" s="252" t="s">
        <v>139</v>
      </c>
      <c r="AF2" s="252" t="s">
        <v>140</v>
      </c>
      <c r="AG2" s="252" t="s">
        <v>141</v>
      </c>
      <c r="AH2" s="252" t="s">
        <v>142</v>
      </c>
      <c r="AI2" s="252" t="s">
        <v>143</v>
      </c>
      <c r="AJ2" s="252" t="s">
        <v>144</v>
      </c>
      <c r="AK2" s="252" t="s">
        <v>145</v>
      </c>
      <c r="AL2" s="252" t="s">
        <v>146</v>
      </c>
      <c r="AM2" s="252" t="s">
        <v>147</v>
      </c>
      <c r="AN2" s="252" t="s">
        <v>148</v>
      </c>
      <c r="AO2" s="244"/>
      <c r="AP2" s="244"/>
      <c r="AQ2" s="244"/>
      <c r="AR2" s="244"/>
      <c r="AS2" s="244"/>
      <c r="AT2" s="244"/>
      <c r="AU2" s="244"/>
      <c r="AV2" s="244"/>
      <c r="AW2" s="244"/>
      <c r="AX2" s="244"/>
      <c r="AY2" s="244"/>
      <c r="AZ2" s="244"/>
      <c r="BA2" s="244"/>
      <c r="BB2" s="244"/>
      <c r="BC2" s="244"/>
      <c r="BD2" s="244"/>
      <c r="BE2" s="244"/>
      <c r="BF2" s="244"/>
      <c r="BG2" s="244"/>
    </row>
    <row r="3" spans="1:59" ht="18" customHeight="1">
      <c r="A3" s="169" t="s">
        <v>149</v>
      </c>
      <c r="B3" s="169"/>
      <c r="C3" s="170">
        <v>46044</v>
      </c>
      <c r="D3" s="171"/>
      <c r="E3" s="171"/>
      <c r="F3" s="172">
        <v>12</v>
      </c>
      <c r="G3" s="173">
        <v>100000</v>
      </c>
      <c r="H3" s="171" t="s">
        <v>61</v>
      </c>
      <c r="I3" s="171"/>
      <c r="J3" s="171"/>
      <c r="K3" s="256"/>
      <c r="L3" s="256"/>
      <c r="M3" s="257">
        <v>3.75</v>
      </c>
      <c r="N3" s="258" t="s">
        <v>12</v>
      </c>
      <c r="O3" s="259">
        <v>0.28199999999999997</v>
      </c>
      <c r="P3" s="174"/>
      <c r="Q3" s="175"/>
      <c r="R3" s="176"/>
      <c r="S3" s="177"/>
      <c r="T3" s="178"/>
      <c r="U3" s="254" t="str">
        <f>IFERROR(VLOOKUP(Production[[#This Row],[GENERIC]],'Pre Costing'!$AG$4:$AK$18,2,FALSE()),"")</f>
        <v>GM - ID</v>
      </c>
      <c r="V3" s="179" t="str">
        <f>IFERROR(INDEX(Internal!$A$1:$A$16,MATCH(RIGHT(Production[[#This Row],[Vendor2]],2),Internal!$B$1:$B$16,0)),"")</f>
        <v>INDONESIA</v>
      </c>
      <c r="W3" s="179" t="str">
        <f>IFERROR(VLOOKUP(Production[[#This Row],[Vendor2]],Internal!$Z$1:$AA$48,2,FALSE()),"")</f>
        <v>Guomao - ID</v>
      </c>
      <c r="X3" s="179" t="str">
        <f>IFERROR(VLOOKUP(Production[[#This Row],[GENERIC]],'Pre Costing'!$A$4:$D$19,2,FALSE()),"")</f>
        <v>Set</v>
      </c>
      <c r="Y3" s="179" t="str">
        <f>IFERROR(VLOOKUP(Production[[#This Row],[GENERIC]],'Pre Costing'!$A$4:$D$19,3,FALSE()),"")</f>
        <v>Running Short</v>
      </c>
      <c r="Z3" s="179" t="str">
        <f>IFERROR(VLOOKUP(Production[[#This Row],[GENERIC]],'Pre Costing'!$A$4:$D$19,4,FALSE()),"")</f>
        <v>HLK0039 - 88% POLYESTER / 12% SPANDEX  -  MARLED JERSEY - 280 GSM</v>
      </c>
      <c r="AA3" s="180">
        <f>IF($A$1="USA",IFERROR(VLOOKUP(Production[[#This Row],[COO]],Internal!$A$1:$C$16,3,FALSE()),0),0)</f>
        <v>0.19</v>
      </c>
      <c r="AB3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0.47199999999999998</v>
      </c>
      <c r="AC3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3.75</v>
      </c>
      <c r="AD3" s="182" t="str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No FS</v>
      </c>
      <c r="AE3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1.77</v>
      </c>
      <c r="AF3" s="182">
        <f>IF(OR(TRIM(Production[[#This Row],[Term]])="FOB",TRIM(Production[[#This Row],[Term]])="First Sale",TRIM(Production[[#This Row],[Term]])="Duty Free"),IFERROR(VLOOKUP(Production[[#This Row],[GENERIC]],'Pre Costing'!$A4:$L19,6,FALSE()),0),0)</f>
        <v>0.2</v>
      </c>
      <c r="AG3" s="182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0.5</v>
      </c>
      <c r="AH3" s="183">
        <f>Production[[#This Row],[FINAL PO FOB]]+Production[[#This Row],[Duty Amount]]+Production[[#This Row],[Total Freight]]</f>
        <v>6.02</v>
      </c>
      <c r="AI3" s="181">
        <f>IFERROR((Production[[#This Row],[Price]]-Production[[#This Row],[HL LDP]])/Production[[#This Row],[Price]],"")</f>
        <v>0.49833333333333335</v>
      </c>
      <c r="AJ3" s="183">
        <f>Production[[#This Row],[FINAL PO FOB]]*Production[[#This Row],[QTY]]</f>
        <v>375000</v>
      </c>
      <c r="AK3" s="183">
        <f>Production[[#This Row],[HL LDP]]*Production[[#This Row],[QTY]]</f>
        <v>602000</v>
      </c>
      <c r="AL3" s="183">
        <f>Production[[#This Row],[Price]]*Production[[#This Row],[QTY]]</f>
        <v>1200000</v>
      </c>
      <c r="AM3" s="255">
        <f>IFERROR(Production[[#This Row],[FOB]]-VLOOKUP(Production[[#This Row],[GENERIC]],'Pre Costing'!$AG$4:$AN$18,4,FALSE()),"")</f>
        <v>0</v>
      </c>
      <c r="AN3" s="255">
        <f>IFERROR(Production[[#This Row],[HL LDP]]-VLOOKUP(Production[[#This Row],[GENERIC]],'Pre Costing'!$AG$4:$AN$18,8,FALSE()),"")</f>
        <v>0</v>
      </c>
      <c r="AO3" s="244"/>
      <c r="AP3" s="244"/>
      <c r="AQ3" s="244"/>
      <c r="AR3" s="244"/>
      <c r="AS3" s="244"/>
      <c r="AT3" s="244"/>
      <c r="AU3" s="244"/>
      <c r="AV3" s="244"/>
      <c r="AW3" s="244"/>
      <c r="AX3" s="244"/>
      <c r="AY3" s="244"/>
      <c r="AZ3" s="244"/>
      <c r="BA3" s="244"/>
      <c r="BB3" s="244"/>
      <c r="BC3" s="244"/>
      <c r="BD3" s="244"/>
      <c r="BE3" s="244"/>
      <c r="BF3" s="244"/>
      <c r="BG3" s="244"/>
    </row>
    <row r="4" spans="1:59" ht="18" customHeight="1">
      <c r="A4" s="169" t="s">
        <v>150</v>
      </c>
      <c r="B4" s="169"/>
      <c r="C4" s="170">
        <v>46044</v>
      </c>
      <c r="D4" s="171"/>
      <c r="E4" s="171"/>
      <c r="F4" s="172">
        <v>12</v>
      </c>
      <c r="G4" s="173">
        <v>100000</v>
      </c>
      <c r="H4" s="171" t="s">
        <v>68</v>
      </c>
      <c r="I4" s="171"/>
      <c r="J4" s="171"/>
      <c r="K4" s="256"/>
      <c r="L4" s="256"/>
      <c r="M4" s="257">
        <v>4.25</v>
      </c>
      <c r="N4" s="258" t="s">
        <v>12</v>
      </c>
      <c r="O4" s="259">
        <v>0.28199999999999997</v>
      </c>
      <c r="P4" s="174"/>
      <c r="Q4" s="175"/>
      <c r="R4" s="176"/>
      <c r="S4" s="177"/>
      <c r="T4" s="178"/>
      <c r="U4" s="254" t="str">
        <f>IFERROR(VLOOKUP(Production[[#This Row],[GENERIC]],'Pre Costing'!$AG$4:$AK$18,2,FALSE()),"")</f>
        <v>GM - ID</v>
      </c>
      <c r="V4" s="179" t="str">
        <f>IFERROR(INDEX(Internal!$A$1:$A$16,MATCH(RIGHT(Production[[#This Row],[Vendor2]],2),Internal!$B$1:$B$16,0)),"")</f>
        <v>INDONESIA</v>
      </c>
      <c r="W4" s="179" t="str">
        <f>IFERROR(VLOOKUP(Production[[#This Row],[Vendor2]],Internal!$Z$1:$AA$48,2,FALSE()),"")</f>
        <v>Guomao - ID</v>
      </c>
      <c r="X4" s="179" t="str">
        <f>IFERROR(VLOOKUP(Production[[#This Row],[GENERIC]],'Pre Costing'!$A$4:$D$19,2,FALSE()),"")</f>
        <v>AOP -Short</v>
      </c>
      <c r="Y4" s="179" t="str">
        <f>IFERROR(VLOOKUP(Production[[#This Row],[GENERIC]],'Pre Costing'!$A$4:$D$19,3,FALSE()),"")</f>
        <v>Woven Short</v>
      </c>
      <c r="Z4" s="179" t="str">
        <f>IFERROR(VLOOKUP(Production[[#This Row],[GENERIC]],'Pre Costing'!$A$4:$D$19,4,FALSE()),"")</f>
        <v>HLK0039 - 88% POLYESTER / 12% SPANDEX  -  MARLED JERSEY - 280 GSM</v>
      </c>
      <c r="AA4" s="180">
        <f>IF($A$1="USA",IFERROR(VLOOKUP(Production[[#This Row],[COO]],Internal!$A$1:$C$16,3,FALSE()),0),0)</f>
        <v>0.19</v>
      </c>
      <c r="AB4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0.47199999999999998</v>
      </c>
      <c r="AC4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4.25</v>
      </c>
      <c r="AD4" s="182" t="str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No FS</v>
      </c>
      <c r="AE4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2.0059999999999998</v>
      </c>
      <c r="AF4" s="182">
        <f>IF(OR(TRIM(Production[[#This Row],[Term]])="FOB",TRIM(Production[[#This Row],[Term]])="First Sale",TRIM(Production[[#This Row],[Term]])="Duty Free"),IFERROR(VLOOKUP(Production[[#This Row],[GENERIC]],'Pre Costing'!$A5:$L20,6,FALSE()),0),0)</f>
        <v>0.1</v>
      </c>
      <c r="AG4" s="182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0.25</v>
      </c>
      <c r="AH4" s="183">
        <f>Production[[#This Row],[FINAL PO FOB]]+Production[[#This Row],[Duty Amount]]+Production[[#This Row],[Total Freight]]</f>
        <v>6.5060000000000002</v>
      </c>
      <c r="AI4" s="181">
        <f>IFERROR((Production[[#This Row],[Price]]-Production[[#This Row],[HL LDP]])/Production[[#This Row],[Price]],"")</f>
        <v>0.45783333333333331</v>
      </c>
      <c r="AJ4" s="183">
        <f>Production[[#This Row],[FINAL PO FOB]]*Production[[#This Row],[QTY]]</f>
        <v>425000</v>
      </c>
      <c r="AK4" s="183">
        <f>Production[[#This Row],[HL LDP]]*Production[[#This Row],[QTY]]</f>
        <v>650600</v>
      </c>
      <c r="AL4" s="183">
        <f>Production[[#This Row],[Price]]*Production[[#This Row],[QTY]]</f>
        <v>1200000</v>
      </c>
      <c r="AM4" s="255">
        <f>IFERROR(Production[[#This Row],[FOB]]-VLOOKUP(Production[[#This Row],[GENERIC]],'Pre Costing'!$AG$4:$AN$18,4,FALSE()),"")</f>
        <v>0</v>
      </c>
      <c r="AN4" s="255">
        <f>IFERROR(Production[[#This Row],[HL LDP]]-VLOOKUP(Production[[#This Row],[GENERIC]],'Pre Costing'!$AG$4:$AN$18,8,FALSE()),"")</f>
        <v>-3.9999999999995595E-3</v>
      </c>
      <c r="AO4" s="244"/>
      <c r="AP4" s="244"/>
      <c r="AQ4" s="244"/>
      <c r="AR4" s="244"/>
      <c r="AS4" s="244"/>
      <c r="AT4" s="244"/>
      <c r="AU4" s="244"/>
      <c r="AV4" s="244"/>
      <c r="AW4" s="244"/>
      <c r="AX4" s="244"/>
      <c r="AY4" s="244"/>
      <c r="AZ4" s="244"/>
      <c r="BA4" s="244"/>
      <c r="BB4" s="244"/>
      <c r="BC4" s="244"/>
      <c r="BD4" s="244"/>
      <c r="BE4" s="244"/>
      <c r="BF4" s="244"/>
      <c r="BG4" s="244"/>
    </row>
    <row r="5" spans="1:59" ht="18" customHeight="1">
      <c r="A5" s="169" t="s">
        <v>151</v>
      </c>
      <c r="B5" s="169"/>
      <c r="C5" s="170">
        <v>46044</v>
      </c>
      <c r="D5" s="171"/>
      <c r="E5" s="171"/>
      <c r="F5" s="172">
        <v>12</v>
      </c>
      <c r="G5" s="173">
        <v>100000</v>
      </c>
      <c r="H5" s="171" t="s">
        <v>74</v>
      </c>
      <c r="I5" s="171"/>
      <c r="J5" s="171"/>
      <c r="K5" s="256"/>
      <c r="L5" s="256"/>
      <c r="M5" s="257">
        <v>8</v>
      </c>
      <c r="N5" s="258" t="s">
        <v>138</v>
      </c>
      <c r="O5" s="259">
        <v>0.161</v>
      </c>
      <c r="P5" s="174"/>
      <c r="Q5" s="175"/>
      <c r="R5" s="176"/>
      <c r="S5" s="177"/>
      <c r="T5" s="178"/>
      <c r="U5" s="254" t="str">
        <f>IFERROR(VLOOKUP(Production[[#This Row],[GENERIC]],'Pre Costing'!$AG$4:$AK$18,2,FALSE()),"")</f>
        <v>AZ - KH</v>
      </c>
      <c r="V5" s="179" t="str">
        <f>IFERROR(INDEX(Internal!$A$1:$A$16,MATCH(RIGHT(Production[[#This Row],[Vendor2]],2),Internal!$B$1:$B$16,0)),"")</f>
        <v>CAMBODIA</v>
      </c>
      <c r="W5" s="179" t="str">
        <f>IFERROR(VLOOKUP(Production[[#This Row],[Vendor2]],Internal!$Z$1:$AA$48,2,FALSE()),"")</f>
        <v>Amazing Space - KH</v>
      </c>
      <c r="X5" s="179" t="str">
        <f>IFERROR(VLOOKUP(Production[[#This Row],[GENERIC]],'Pre Costing'!$A$4:$D$19,2,FALSE()),"")</f>
        <v>Full Zip</v>
      </c>
      <c r="Y5" s="179" t="str">
        <f>IFERROR(VLOOKUP(Production[[#This Row],[GENERIC]],'Pre Costing'!$A$4:$D$19,3,FALSE()),"")</f>
        <v>Champion Full Zip Hoodie</v>
      </c>
      <c r="Z5" s="179" t="str">
        <f>IFERROR(VLOOKUP(Production[[#This Row],[GENERIC]],'Pre Costing'!$A$4:$D$19,4,FALSE()),"")</f>
        <v xml:space="preserve">HLK0041 - 60% Cotton / 40% Poly -  JERSEY -280 GSM </v>
      </c>
      <c r="AA5" s="180">
        <f>IF($A$1="USA",IFERROR(VLOOKUP(Production[[#This Row],[COO]],Internal!$A$1:$C$16,3,FALSE()),0),0)</f>
        <v>0.19</v>
      </c>
      <c r="AB5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0.35099999999999998</v>
      </c>
      <c r="AC5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8</v>
      </c>
      <c r="AD5" s="182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7.27</v>
      </c>
      <c r="AE5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2.5517699999999999</v>
      </c>
      <c r="AF5" s="182">
        <f>IF(OR(TRIM(Production[[#This Row],[Term]])="FOB",TRIM(Production[[#This Row],[Term]])="First Sale",TRIM(Production[[#This Row],[Term]])="Duty Free"),IFERROR(VLOOKUP(Production[[#This Row],[GENERIC]],'Pre Costing'!$A6:$L21,6,FALSE()),0),0)</f>
        <v>0.15</v>
      </c>
      <c r="AG5" s="182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0.38</v>
      </c>
      <c r="AH5" s="183">
        <f>Production[[#This Row],[FINAL PO FOB]]+Production[[#This Row],[Duty Amount]]+Production[[#This Row],[Total Freight]]</f>
        <v>10.93177</v>
      </c>
      <c r="AI5" s="181">
        <f>IFERROR((Production[[#This Row],[Price]]-Production[[#This Row],[HL LDP]])/Production[[#This Row],[Price]],"")</f>
        <v>8.9019166666666649E-2</v>
      </c>
      <c r="AJ5" s="183">
        <f>Production[[#This Row],[FINAL PO FOB]]*Production[[#This Row],[QTY]]</f>
        <v>800000</v>
      </c>
      <c r="AK5" s="183">
        <f>Production[[#This Row],[HL LDP]]*Production[[#This Row],[QTY]]</f>
        <v>1093177</v>
      </c>
      <c r="AL5" s="183">
        <f>Production[[#This Row],[Price]]*Production[[#This Row],[QTY]]</f>
        <v>1200000</v>
      </c>
      <c r="AM5" s="255">
        <f>IFERROR(Production[[#This Row],[FOB]]-VLOOKUP(Production[[#This Row],[GENERIC]],'Pre Costing'!$AG$4:$AN$18,4,FALSE()),"")</f>
        <v>0</v>
      </c>
      <c r="AN5" s="255">
        <f>IFERROR(Production[[#This Row],[HL LDP]]-VLOOKUP(Production[[#This Row],[GENERIC]],'Pre Costing'!$AG$4:$AN$18,8,FALSE()),"")</f>
        <v>1.769999999998717E-3</v>
      </c>
      <c r="AO5" s="244"/>
      <c r="AP5" s="244"/>
      <c r="AQ5" s="244"/>
      <c r="AR5" s="244"/>
      <c r="AS5" s="244"/>
      <c r="AT5" s="244"/>
      <c r="AU5" s="244"/>
      <c r="AV5" s="244"/>
      <c r="AW5" s="244"/>
      <c r="AX5" s="244"/>
      <c r="AY5" s="244"/>
      <c r="AZ5" s="244"/>
      <c r="BA5" s="244"/>
      <c r="BB5" s="244"/>
      <c r="BC5" s="244"/>
      <c r="BD5" s="244"/>
      <c r="BE5" s="244"/>
      <c r="BF5" s="244"/>
      <c r="BG5" s="244"/>
    </row>
    <row r="6" spans="1:59" ht="18" customHeight="1">
      <c r="A6" s="169" t="s">
        <v>151</v>
      </c>
      <c r="B6" s="169"/>
      <c r="C6" s="170">
        <v>46044</v>
      </c>
      <c r="D6" s="171"/>
      <c r="E6" s="171"/>
      <c r="F6" s="172">
        <v>12</v>
      </c>
      <c r="G6" s="173">
        <v>100000</v>
      </c>
      <c r="H6" s="171" t="s">
        <v>74</v>
      </c>
      <c r="I6" s="171"/>
      <c r="J6" s="171"/>
      <c r="K6" s="256"/>
      <c r="L6" s="256"/>
      <c r="M6" s="257">
        <v>8</v>
      </c>
      <c r="N6" s="258" t="s">
        <v>138</v>
      </c>
      <c r="O6" s="259">
        <v>0.161</v>
      </c>
      <c r="P6" s="174"/>
      <c r="Q6" s="175"/>
      <c r="R6" s="176"/>
      <c r="S6" s="177"/>
      <c r="T6" s="178"/>
      <c r="U6" s="254" t="str">
        <f>IFERROR(VLOOKUP(Production[[#This Row],[GENERIC]],'Pre Costing'!$AG$4:$AK$18,2,FALSE()),"")</f>
        <v>AZ - KH</v>
      </c>
      <c r="V6" s="179" t="str">
        <f>IFERROR(INDEX(Internal!$A$1:$A$16,MATCH(RIGHT(Production[[#This Row],[Vendor2]],2),Internal!$B$1:$B$16,0)),"")</f>
        <v>CAMBODIA</v>
      </c>
      <c r="W6" s="179" t="str">
        <f>IFERROR(VLOOKUP(Production[[#This Row],[Vendor2]],Internal!$Z$1:$AA$48,2,FALSE()),"")</f>
        <v>Amazing Space - KH</v>
      </c>
      <c r="X6" s="179" t="str">
        <f>IFERROR(VLOOKUP(Production[[#This Row],[GENERIC]],'Pre Costing'!$A$4:$D$19,2,FALSE()),"")</f>
        <v>Full Zip</v>
      </c>
      <c r="Y6" s="179" t="str">
        <f>IFERROR(VLOOKUP(Production[[#This Row],[GENERIC]],'Pre Costing'!$A$4:$D$19,3,FALSE()),"")</f>
        <v>Champion Full Zip Hoodie</v>
      </c>
      <c r="Z6" s="179" t="str">
        <f>IFERROR(VLOOKUP(Production[[#This Row],[GENERIC]],'Pre Costing'!$A$4:$D$19,4,FALSE()),"")</f>
        <v xml:space="preserve">HLK0041 - 60% Cotton / 40% Poly -  JERSEY -280 GSM </v>
      </c>
      <c r="AA6" s="180">
        <f>IF($A$1="USA",IFERROR(VLOOKUP(Production[[#This Row],[COO]],Internal!$A$1:$C$16,3,FALSE()),0),0)</f>
        <v>0.19</v>
      </c>
      <c r="AB6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0.35099999999999998</v>
      </c>
      <c r="AC6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8</v>
      </c>
      <c r="AD6" s="182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7.27</v>
      </c>
      <c r="AE6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2.5517699999999999</v>
      </c>
      <c r="AF6" s="182">
        <f>IF(OR(TRIM(Production[[#This Row],[Term]])="FOB",TRIM(Production[[#This Row],[Term]])="First Sale",TRIM(Production[[#This Row],[Term]])="Duty Free"),IFERROR(VLOOKUP(Production[[#This Row],[GENERIC]],'Pre Costing'!$A7:$L22,6,FALSE()),0),0)</f>
        <v>0.15</v>
      </c>
      <c r="AG6" s="182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0.38</v>
      </c>
      <c r="AH6" s="183">
        <f>Production[[#This Row],[FINAL PO FOB]]+Production[[#This Row],[Duty Amount]]+Production[[#This Row],[Total Freight]]</f>
        <v>10.93177</v>
      </c>
      <c r="AI6" s="181">
        <f>IFERROR((Production[[#This Row],[Price]]-Production[[#This Row],[HL LDP]])/Production[[#This Row],[Price]],"")</f>
        <v>8.9019166666666649E-2</v>
      </c>
      <c r="AJ6" s="183">
        <f>Production[[#This Row],[FINAL PO FOB]]*Production[[#This Row],[QTY]]</f>
        <v>800000</v>
      </c>
      <c r="AK6" s="183">
        <f>Production[[#This Row],[HL LDP]]*Production[[#This Row],[QTY]]</f>
        <v>1093177</v>
      </c>
      <c r="AL6" s="183">
        <f>Production[[#This Row],[Price]]*Production[[#This Row],[QTY]]</f>
        <v>1200000</v>
      </c>
      <c r="AM6" s="255">
        <f>IFERROR(Production[[#This Row],[FOB]]-VLOOKUP(Production[[#This Row],[GENERIC]],'Pre Costing'!$AG$4:$AN$18,4,FALSE()),"")</f>
        <v>0</v>
      </c>
      <c r="AN6" s="255">
        <f>IFERROR(Production[[#This Row],[HL LDP]]-VLOOKUP(Production[[#This Row],[GENERIC]],'Pre Costing'!$AG$4:$AN$18,8,FALSE()),"")</f>
        <v>1.769999999998717E-3</v>
      </c>
      <c r="AO6" s="244"/>
      <c r="AP6" s="244"/>
      <c r="AQ6" s="244"/>
      <c r="AR6" s="244"/>
      <c r="AS6" s="244"/>
      <c r="AT6" s="244"/>
      <c r="AU6" s="244"/>
      <c r="AV6" s="244"/>
      <c r="AW6" s="244"/>
      <c r="AX6" s="244"/>
      <c r="AY6" s="244"/>
      <c r="AZ6" s="244"/>
      <c r="BA6" s="244"/>
      <c r="BB6" s="244"/>
      <c r="BC6" s="244"/>
      <c r="BD6" s="244"/>
      <c r="BE6" s="244"/>
      <c r="BF6" s="244"/>
      <c r="BG6" s="244"/>
    </row>
    <row r="7" spans="1:59" ht="18" customHeight="1">
      <c r="A7" s="169" t="s">
        <v>151</v>
      </c>
      <c r="B7" s="169"/>
      <c r="C7" s="170">
        <v>46044</v>
      </c>
      <c r="D7" s="171"/>
      <c r="E7" s="171"/>
      <c r="F7" s="172">
        <v>12</v>
      </c>
      <c r="G7" s="173">
        <v>100000</v>
      </c>
      <c r="H7" s="171" t="s">
        <v>74</v>
      </c>
      <c r="I7" s="171"/>
      <c r="J7" s="171"/>
      <c r="K7" s="256"/>
      <c r="L7" s="256"/>
      <c r="M7" s="257">
        <v>8.15</v>
      </c>
      <c r="N7" s="258" t="s">
        <v>138</v>
      </c>
      <c r="O7" s="259">
        <v>0.161</v>
      </c>
      <c r="P7" s="174"/>
      <c r="Q7" s="175"/>
      <c r="R7" s="176"/>
      <c r="S7" s="177"/>
      <c r="T7" s="178"/>
      <c r="U7" s="254" t="str">
        <f>IFERROR(VLOOKUP(Production[[#This Row],[GENERIC]],'Pre Costing'!$AG$4:$AK$18,2,FALSE()),"")</f>
        <v>AZ - KH</v>
      </c>
      <c r="V7" s="179" t="str">
        <f>IFERROR(INDEX(Internal!$A$1:$A$16,MATCH(RIGHT(Production[[#This Row],[Vendor2]],2),Internal!$B$1:$B$16,0)),"")</f>
        <v>CAMBODIA</v>
      </c>
      <c r="W7" s="179" t="str">
        <f>IFERROR(VLOOKUP(Production[[#This Row],[Vendor2]],Internal!$Z$1:$AA$48,2,FALSE()),"")</f>
        <v>Amazing Space - KH</v>
      </c>
      <c r="X7" s="179" t="str">
        <f>IFERROR(VLOOKUP(Production[[#This Row],[GENERIC]],'Pre Costing'!$A$4:$D$19,2,FALSE()),"")</f>
        <v>Full Zip</v>
      </c>
      <c r="Y7" s="179" t="str">
        <f>IFERROR(VLOOKUP(Production[[#This Row],[GENERIC]],'Pre Costing'!$A$4:$D$19,3,FALSE()),"")</f>
        <v>Champion Full Zip Hoodie</v>
      </c>
      <c r="Z7" s="179" t="str">
        <f>IFERROR(VLOOKUP(Production[[#This Row],[GENERIC]],'Pre Costing'!$A$4:$D$19,4,FALSE()),"")</f>
        <v xml:space="preserve">HLK0041 - 60% Cotton / 40% Poly -  JERSEY -280 GSM </v>
      </c>
      <c r="AA7" s="180">
        <f>IF($A$1="USA",IFERROR(VLOOKUP(Production[[#This Row],[COO]],Internal!$A$1:$C$16,3,FALSE()),0),0)</f>
        <v>0.19</v>
      </c>
      <c r="AB7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0.35099999999999998</v>
      </c>
      <c r="AC7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8.15</v>
      </c>
      <c r="AD7" s="182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7.27</v>
      </c>
      <c r="AE7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2.5517699999999999</v>
      </c>
      <c r="AF7" s="182">
        <f>IF(OR(TRIM(Production[[#This Row],[Term]])="FOB",TRIM(Production[[#This Row],[Term]])="First Sale",TRIM(Production[[#This Row],[Term]])="Duty Free"),IFERROR(VLOOKUP(Production[[#This Row],[GENERIC]],'Pre Costing'!$A8:$L23,6,FALSE()),0),0)</f>
        <v>0.15</v>
      </c>
      <c r="AG7" s="182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0.38</v>
      </c>
      <c r="AH7" s="183">
        <f>Production[[#This Row],[FINAL PO FOB]]+Production[[#This Row],[Duty Amount]]+Production[[#This Row],[Total Freight]]</f>
        <v>11.081770000000001</v>
      </c>
      <c r="AI7" s="181">
        <f>IFERROR((Production[[#This Row],[Price]]-Production[[#This Row],[HL LDP]])/Production[[#This Row],[Price]],"")</f>
        <v>7.6519166666666624E-2</v>
      </c>
      <c r="AJ7" s="183">
        <f>Production[[#This Row],[FINAL PO FOB]]*Production[[#This Row],[QTY]]</f>
        <v>815000</v>
      </c>
      <c r="AK7" s="183">
        <f>Production[[#This Row],[HL LDP]]*Production[[#This Row],[QTY]]</f>
        <v>1108177</v>
      </c>
      <c r="AL7" s="183">
        <f>Production[[#This Row],[Price]]*Production[[#This Row],[QTY]]</f>
        <v>1200000</v>
      </c>
      <c r="AM7" s="255">
        <f>IFERROR(Production[[#This Row],[FOB]]-VLOOKUP(Production[[#This Row],[GENERIC]],'Pre Costing'!$AG$4:$AN$18,4,FALSE()),"")</f>
        <v>0.15000000000000036</v>
      </c>
      <c r="AN7" s="255">
        <f>IFERROR(Production[[#This Row],[HL LDP]]-VLOOKUP(Production[[#This Row],[GENERIC]],'Pre Costing'!$AG$4:$AN$18,8,FALSE()),"")</f>
        <v>0.15176999999999907</v>
      </c>
      <c r="AO7" s="244"/>
      <c r="AP7" s="244"/>
      <c r="AQ7" s="244"/>
      <c r="AR7" s="244"/>
      <c r="AS7" s="244"/>
      <c r="AT7" s="244"/>
      <c r="AU7" s="244"/>
      <c r="AV7" s="244"/>
      <c r="AW7" s="244"/>
      <c r="AX7" s="244"/>
      <c r="AY7" s="244"/>
      <c r="AZ7" s="244"/>
      <c r="BA7" s="244"/>
      <c r="BB7" s="244"/>
      <c r="BC7" s="244"/>
      <c r="BD7" s="244"/>
      <c r="BE7" s="244"/>
      <c r="BF7" s="244"/>
      <c r="BG7" s="244"/>
    </row>
    <row r="8" spans="1:59" ht="18" customHeight="1">
      <c r="A8" s="169" t="s">
        <v>151</v>
      </c>
      <c r="B8" s="169"/>
      <c r="C8" s="170">
        <v>46044</v>
      </c>
      <c r="D8" s="171"/>
      <c r="E8" s="171"/>
      <c r="F8" s="172">
        <v>12</v>
      </c>
      <c r="G8" s="173">
        <v>100000</v>
      </c>
      <c r="H8" s="171" t="s">
        <v>74</v>
      </c>
      <c r="I8" s="171"/>
      <c r="J8" s="171"/>
      <c r="K8" s="256"/>
      <c r="L8" s="256"/>
      <c r="M8" s="257">
        <v>8</v>
      </c>
      <c r="N8" s="258" t="s">
        <v>138</v>
      </c>
      <c r="O8" s="259">
        <v>0.161</v>
      </c>
      <c r="P8" s="174"/>
      <c r="Q8" s="175"/>
      <c r="R8" s="176"/>
      <c r="S8" s="177"/>
      <c r="T8" s="178"/>
      <c r="U8" s="254" t="str">
        <f>IFERROR(VLOOKUP(Production[[#This Row],[GENERIC]],'Pre Costing'!$AG$4:$AK$18,2,FALSE()),"")</f>
        <v>AZ - KH</v>
      </c>
      <c r="V8" s="179" t="str">
        <f>IFERROR(INDEX(Internal!$A$1:$A$16,MATCH(RIGHT(Production[[#This Row],[Vendor2]],2),Internal!$B$1:$B$16,0)),"")</f>
        <v>CAMBODIA</v>
      </c>
      <c r="W8" s="179" t="str">
        <f>IFERROR(VLOOKUP(Production[[#This Row],[Vendor2]],Internal!$Z$1:$AA$48,2,FALSE()),"")</f>
        <v>Amazing Space - KH</v>
      </c>
      <c r="X8" s="179" t="str">
        <f>IFERROR(VLOOKUP(Production[[#This Row],[GENERIC]],'Pre Costing'!$A$4:$D$19,2,FALSE()),"")</f>
        <v>Full Zip</v>
      </c>
      <c r="Y8" s="179" t="str">
        <f>IFERROR(VLOOKUP(Production[[#This Row],[GENERIC]],'Pre Costing'!$A$4:$D$19,3,FALSE()),"")</f>
        <v>Champion Full Zip Hoodie</v>
      </c>
      <c r="Z8" s="179" t="str">
        <f>IFERROR(VLOOKUP(Production[[#This Row],[GENERIC]],'Pre Costing'!$A$4:$D$19,4,FALSE()),"")</f>
        <v xml:space="preserve">HLK0041 - 60% Cotton / 40% Poly -  JERSEY -280 GSM </v>
      </c>
      <c r="AA8" s="180">
        <f>IF($A$1="USA",IFERROR(VLOOKUP(Production[[#This Row],[COO]],Internal!$A$1:$C$16,3,FALSE()),0),0)</f>
        <v>0.19</v>
      </c>
      <c r="AB8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0.35099999999999998</v>
      </c>
      <c r="AC8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8</v>
      </c>
      <c r="AD8" s="182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7.27</v>
      </c>
      <c r="AE8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2.5517699999999999</v>
      </c>
      <c r="AF8" s="182">
        <f>IF(OR(TRIM(Production[[#This Row],[Term]])="FOB",TRIM(Production[[#This Row],[Term]])="First Sale",TRIM(Production[[#This Row],[Term]])="Duty Free"),IFERROR(VLOOKUP(Production[[#This Row],[GENERIC]],'Pre Costing'!$A9:$L24,6,FALSE()),0),0)</f>
        <v>0.15</v>
      </c>
      <c r="AG8" s="182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0.38</v>
      </c>
      <c r="AH8" s="183">
        <f>Production[[#This Row],[FINAL PO FOB]]+Production[[#This Row],[Duty Amount]]+Production[[#This Row],[Total Freight]]</f>
        <v>10.93177</v>
      </c>
      <c r="AI8" s="181">
        <f>IFERROR((Production[[#This Row],[Price]]-Production[[#This Row],[HL LDP]])/Production[[#This Row],[Price]],"")</f>
        <v>8.9019166666666649E-2</v>
      </c>
      <c r="AJ8" s="183">
        <f>Production[[#This Row],[FINAL PO FOB]]*Production[[#This Row],[QTY]]</f>
        <v>800000</v>
      </c>
      <c r="AK8" s="183">
        <f>Production[[#This Row],[HL LDP]]*Production[[#This Row],[QTY]]</f>
        <v>1093177</v>
      </c>
      <c r="AL8" s="183">
        <f>Production[[#This Row],[Price]]*Production[[#This Row],[QTY]]</f>
        <v>1200000</v>
      </c>
      <c r="AM8" s="255">
        <f>IFERROR(Production[[#This Row],[FOB]]-VLOOKUP(Production[[#This Row],[GENERIC]],'Pre Costing'!$AG$4:$AN$18,4,FALSE()),"")</f>
        <v>0</v>
      </c>
      <c r="AN8" s="255">
        <f>IFERROR(Production[[#This Row],[HL LDP]]-VLOOKUP(Production[[#This Row],[GENERIC]],'Pre Costing'!$AG$4:$AN$18,8,FALSE()),"")</f>
        <v>1.769999999998717E-3</v>
      </c>
      <c r="AO8" s="244"/>
      <c r="AP8" s="244"/>
      <c r="AQ8" s="244"/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44"/>
      <c r="BE8" s="244"/>
      <c r="BF8" s="244"/>
      <c r="BG8" s="244"/>
    </row>
    <row r="9" spans="1:59" ht="18" customHeight="1">
      <c r="A9" s="169" t="s">
        <v>151</v>
      </c>
      <c r="B9" s="169"/>
      <c r="C9" s="170">
        <v>46044</v>
      </c>
      <c r="D9" s="171"/>
      <c r="E9" s="171"/>
      <c r="F9" s="172">
        <v>12</v>
      </c>
      <c r="G9" s="173">
        <v>100000</v>
      </c>
      <c r="H9" s="171" t="s">
        <v>74</v>
      </c>
      <c r="I9" s="171"/>
      <c r="J9" s="171"/>
      <c r="K9" s="256"/>
      <c r="L9" s="256"/>
      <c r="M9" s="257">
        <v>8</v>
      </c>
      <c r="N9" s="258" t="s">
        <v>138</v>
      </c>
      <c r="O9" s="259">
        <v>0.161</v>
      </c>
      <c r="P9" s="174"/>
      <c r="Q9" s="175"/>
      <c r="R9" s="176"/>
      <c r="S9" s="177"/>
      <c r="T9" s="178"/>
      <c r="U9" s="254" t="str">
        <f>IFERROR(VLOOKUP(Production[[#This Row],[GENERIC]],'Pre Costing'!$AG$4:$AK$18,2,FALSE()),"")</f>
        <v>AZ - KH</v>
      </c>
      <c r="V9" s="179" t="str">
        <f>IFERROR(INDEX(Internal!$A$1:$A$16,MATCH(RIGHT(Production[[#This Row],[Vendor2]],2),Internal!$B$1:$B$16,0)),"")</f>
        <v>CAMBODIA</v>
      </c>
      <c r="W9" s="179" t="str">
        <f>IFERROR(VLOOKUP(Production[[#This Row],[Vendor2]],Internal!$Z$1:$AA$48,2,FALSE()),"")</f>
        <v>Amazing Space - KH</v>
      </c>
      <c r="X9" s="179" t="str">
        <f>IFERROR(VLOOKUP(Production[[#This Row],[GENERIC]],'Pre Costing'!$A$4:$D$19,2,FALSE()),"")</f>
        <v>Full Zip</v>
      </c>
      <c r="Y9" s="179" t="str">
        <f>IFERROR(VLOOKUP(Production[[#This Row],[GENERIC]],'Pre Costing'!$A$4:$D$19,3,FALSE()),"")</f>
        <v>Champion Full Zip Hoodie</v>
      </c>
      <c r="Z9" s="179" t="str">
        <f>IFERROR(VLOOKUP(Production[[#This Row],[GENERIC]],'Pre Costing'!$A$4:$D$19,4,FALSE()),"")</f>
        <v xml:space="preserve">HLK0041 - 60% Cotton / 40% Poly -  JERSEY -280 GSM </v>
      </c>
      <c r="AA9" s="180">
        <f>IF($A$1="USA",IFERROR(VLOOKUP(Production[[#This Row],[COO]],Internal!$A$1:$C$16,3,FALSE()),0),0)</f>
        <v>0.19</v>
      </c>
      <c r="AB9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0.35099999999999998</v>
      </c>
      <c r="AC9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8</v>
      </c>
      <c r="AD9" s="182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7.27</v>
      </c>
      <c r="AE9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2.5517699999999999</v>
      </c>
      <c r="AF9" s="182">
        <f>IF(OR(TRIM(Production[[#This Row],[Term]])="FOB",TRIM(Production[[#This Row],[Term]])="First Sale",TRIM(Production[[#This Row],[Term]])="Duty Free"),IFERROR(VLOOKUP(Production[[#This Row],[GENERIC]],'Pre Costing'!$A10:$L25,6,FALSE()),0),0)</f>
        <v>0.15</v>
      </c>
      <c r="AG9" s="182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0.38</v>
      </c>
      <c r="AH9" s="183">
        <f>Production[[#This Row],[FINAL PO FOB]]+Production[[#This Row],[Duty Amount]]+Production[[#This Row],[Total Freight]]</f>
        <v>10.93177</v>
      </c>
      <c r="AI9" s="181">
        <f>IFERROR((Production[[#This Row],[Price]]-Production[[#This Row],[HL LDP]])/Production[[#This Row],[Price]],"")</f>
        <v>8.9019166666666649E-2</v>
      </c>
      <c r="AJ9" s="183">
        <f>Production[[#This Row],[FINAL PO FOB]]*Production[[#This Row],[QTY]]</f>
        <v>800000</v>
      </c>
      <c r="AK9" s="183">
        <f>Production[[#This Row],[HL LDP]]*Production[[#This Row],[QTY]]</f>
        <v>1093177</v>
      </c>
      <c r="AL9" s="183">
        <f>Production[[#This Row],[Price]]*Production[[#This Row],[QTY]]</f>
        <v>1200000</v>
      </c>
      <c r="AM9" s="255">
        <f>IFERROR(Production[[#This Row],[FOB]]-VLOOKUP(Production[[#This Row],[GENERIC]],'Pre Costing'!$AG$4:$AN$18,4,FALSE()),"")</f>
        <v>0</v>
      </c>
      <c r="AN9" s="255">
        <f>IFERROR(Production[[#This Row],[HL LDP]]-VLOOKUP(Production[[#This Row],[GENERIC]],'Pre Costing'!$AG$4:$AN$18,8,FALSE()),"")</f>
        <v>1.769999999998717E-3</v>
      </c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  <c r="BG9" s="244"/>
    </row>
    <row r="10" spans="1:59" ht="18" customHeight="1">
      <c r="A10" s="169" t="s">
        <v>151</v>
      </c>
      <c r="B10" s="169"/>
      <c r="C10" s="170">
        <v>46044</v>
      </c>
      <c r="D10" s="171"/>
      <c r="E10" s="171"/>
      <c r="F10" s="172">
        <v>12</v>
      </c>
      <c r="G10" s="173">
        <v>100000</v>
      </c>
      <c r="H10" s="171" t="s">
        <v>74</v>
      </c>
      <c r="I10" s="171"/>
      <c r="J10" s="171"/>
      <c r="K10" s="256"/>
      <c r="L10" s="256"/>
      <c r="M10" s="257">
        <v>5.15</v>
      </c>
      <c r="N10" s="258" t="s">
        <v>138</v>
      </c>
      <c r="O10" s="259">
        <v>0.161</v>
      </c>
      <c r="P10" s="174"/>
      <c r="Q10" s="175"/>
      <c r="R10" s="176"/>
      <c r="S10" s="177"/>
      <c r="T10" s="178"/>
      <c r="U10" s="254" t="str">
        <f>IFERROR(VLOOKUP(Production[[#This Row],[GENERIC]],'Pre Costing'!$AG$4:$AK$18,2,FALSE()),"")</f>
        <v>AZ - KH</v>
      </c>
      <c r="V10" s="179" t="str">
        <f>IFERROR(INDEX(Internal!$A$1:$A$16,MATCH(RIGHT(Production[[#This Row],[Vendor2]],2),Internal!$B$1:$B$16,0)),"")</f>
        <v>CAMBODIA</v>
      </c>
      <c r="W10" s="179" t="str">
        <f>IFERROR(VLOOKUP(Production[[#This Row],[Vendor2]],Internal!$Z$1:$AA$48,2,FALSE()),"")</f>
        <v>Amazing Space - KH</v>
      </c>
      <c r="X10" s="179" t="str">
        <f>IFERROR(VLOOKUP(Production[[#This Row],[GENERIC]],'Pre Costing'!$A$4:$D$19,2,FALSE()),"")</f>
        <v>Full Zip</v>
      </c>
      <c r="Y10" s="179" t="str">
        <f>IFERROR(VLOOKUP(Production[[#This Row],[GENERIC]],'Pre Costing'!$A$4:$D$19,3,FALSE()),"")</f>
        <v>Champion Full Zip Hoodie</v>
      </c>
      <c r="Z10" s="179" t="str">
        <f>IFERROR(VLOOKUP(Production[[#This Row],[GENERIC]],'Pre Costing'!$A$4:$D$19,4,FALSE()),"")</f>
        <v xml:space="preserve">HLK0041 - 60% Cotton / 40% Poly -  JERSEY -280 GSM </v>
      </c>
      <c r="AA10" s="180">
        <f>IF($A$1="USA",IFERROR(VLOOKUP(Production[[#This Row],[COO]],Internal!$A$1:$C$16,3,FALSE()),0),0)</f>
        <v>0.19</v>
      </c>
      <c r="AB10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0.35099999999999998</v>
      </c>
      <c r="AC10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5.15</v>
      </c>
      <c r="AD10" s="182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7.27</v>
      </c>
      <c r="AE10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2.5517699999999999</v>
      </c>
      <c r="AF10" s="182">
        <f>IF(OR(TRIM(Production[[#This Row],[Term]])="FOB",TRIM(Production[[#This Row],[Term]])="First Sale",TRIM(Production[[#This Row],[Term]])="Duty Free"),IFERROR(VLOOKUP(Production[[#This Row],[GENERIC]],'Pre Costing'!$A11:$L26,6,FALSE()),0),0)</f>
        <v>0.15</v>
      </c>
      <c r="AG10" s="182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0.38</v>
      </c>
      <c r="AH10" s="183">
        <f>Production[[#This Row],[FINAL PO FOB]]+Production[[#This Row],[Duty Amount]]+Production[[#This Row],[Total Freight]]</f>
        <v>8.0817700000000006</v>
      </c>
      <c r="AI10" s="181">
        <f>IFERROR((Production[[#This Row],[Price]]-Production[[#This Row],[HL LDP]])/Production[[#This Row],[Price]],"")</f>
        <v>0.32651916666666664</v>
      </c>
      <c r="AJ10" s="183">
        <f>Production[[#This Row],[FINAL PO FOB]]*Production[[#This Row],[QTY]]</f>
        <v>515000.00000000006</v>
      </c>
      <c r="AK10" s="183">
        <f>Production[[#This Row],[HL LDP]]*Production[[#This Row],[QTY]]</f>
        <v>808177</v>
      </c>
      <c r="AL10" s="183">
        <f>Production[[#This Row],[Price]]*Production[[#This Row],[QTY]]</f>
        <v>1200000</v>
      </c>
      <c r="AM10" s="255">
        <f>IFERROR(Production[[#This Row],[FOB]]-VLOOKUP(Production[[#This Row],[GENERIC]],'Pre Costing'!$AG$4:$AN$18,4,FALSE()),"")</f>
        <v>-2.8499999999999996</v>
      </c>
      <c r="AN10" s="255">
        <f>IFERROR(Production[[#This Row],[HL LDP]]-VLOOKUP(Production[[#This Row],[GENERIC]],'Pre Costing'!$AG$4:$AN$18,8,FALSE()),"")</f>
        <v>-2.8482300000000009</v>
      </c>
      <c r="AO10" s="244"/>
      <c r="AP10" s="244"/>
      <c r="AQ10" s="244"/>
      <c r="AR10" s="244"/>
      <c r="AS10" s="244"/>
      <c r="AT10" s="244"/>
      <c r="AU10" s="244"/>
      <c r="AV10" s="244"/>
      <c r="AW10" s="244"/>
      <c r="AX10" s="244"/>
      <c r="AY10" s="244"/>
      <c r="AZ10" s="244"/>
      <c r="BA10" s="244"/>
      <c r="BB10" s="244"/>
      <c r="BC10" s="244"/>
      <c r="BD10" s="244"/>
      <c r="BE10" s="244"/>
      <c r="BF10" s="244"/>
      <c r="BG10" s="244"/>
    </row>
    <row r="11" spans="1:59" ht="18" customHeight="1">
      <c r="A11" s="169" t="s">
        <v>152</v>
      </c>
      <c r="B11" s="169"/>
      <c r="C11" s="170"/>
      <c r="D11" s="171"/>
      <c r="E11" s="171"/>
      <c r="F11" s="172">
        <v>12</v>
      </c>
      <c r="G11" s="173">
        <v>100000</v>
      </c>
      <c r="H11" s="171" t="s">
        <v>79</v>
      </c>
      <c r="I11" s="171"/>
      <c r="J11" s="171"/>
      <c r="K11" s="256"/>
      <c r="L11" s="256"/>
      <c r="M11" s="257">
        <v>10</v>
      </c>
      <c r="N11" s="258" t="s">
        <v>138</v>
      </c>
      <c r="O11" s="259">
        <v>0.14899999999999999</v>
      </c>
      <c r="P11" s="174"/>
      <c r="Q11" s="175"/>
      <c r="R11" s="176"/>
      <c r="S11" s="177"/>
      <c r="T11" s="178"/>
      <c r="U11" s="254" t="str">
        <f>IFERROR(VLOOKUP(Production[[#This Row],[GENERIC]],'Pre Costing'!$AG$4:$AK$18,2,FALSE()),"")</f>
        <v>AZ - KH</v>
      </c>
      <c r="V11" s="179" t="str">
        <f>IFERROR(INDEX(Internal!$A$1:$A$16,MATCH(RIGHT(Production[[#This Row],[Vendor2]],2),Internal!$B$1:$B$16,0)),"")</f>
        <v>CAMBODIA</v>
      </c>
      <c r="W11" s="179" t="str">
        <f>IFERROR(VLOOKUP(Production[[#This Row],[Vendor2]],Internal!$Z$1:$AA$48,2,FALSE()),"")</f>
        <v>Amazing Space - KH</v>
      </c>
      <c r="X11" s="179" t="str">
        <f>IFERROR(VLOOKUP(Production[[#This Row],[GENERIC]],'Pre Costing'!$A$4:$D$19,2,FALSE()),"")</f>
        <v>Jacket</v>
      </c>
      <c r="Y11" s="179" t="str">
        <f>IFERROR(VLOOKUP(Production[[#This Row],[GENERIC]],'Pre Costing'!$A$4:$D$19,3,FALSE()),"")</f>
        <v>Champion Jacket</v>
      </c>
      <c r="Z11" s="179" t="str">
        <f>IFERROR(VLOOKUP(Production[[#This Row],[GENERIC]],'Pre Costing'!$A$4:$D$19,4,FALSE()),"")</f>
        <v xml:space="preserve">HLK0041 - 60% Cotton / 40% Poly -  JERSEY -280 GSM </v>
      </c>
      <c r="AA11" s="180">
        <f>IF($A$1="USA",IFERROR(VLOOKUP(Production[[#This Row],[COO]],Internal!$A$1:$C$16,3,FALSE()),0),0)</f>
        <v>0.19</v>
      </c>
      <c r="AB11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0.33899999999999997</v>
      </c>
      <c r="AC11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10</v>
      </c>
      <c r="AD11" s="182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8.5</v>
      </c>
      <c r="AE11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2.8815</v>
      </c>
      <c r="AF11" s="182">
        <f>IF(OR(TRIM(Production[[#This Row],[Term]])="FOB",TRIM(Production[[#This Row],[Term]])="First Sale",TRIM(Production[[#This Row],[Term]])="Duty Free"),IFERROR(VLOOKUP(Production[[#This Row],[GENERIC]],'Pre Costing'!$A12:$L27,6,FALSE()),0),0)</f>
        <v>0.15</v>
      </c>
      <c r="AG11" s="182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0.38</v>
      </c>
      <c r="AH11" s="183">
        <f>Production[[#This Row],[FINAL PO FOB]]+Production[[#This Row],[Duty Amount]]+Production[[#This Row],[Total Freight]]</f>
        <v>13.2615</v>
      </c>
      <c r="AI11" s="181">
        <f>IFERROR((Production[[#This Row],[Price]]-Production[[#This Row],[HL LDP]])/Production[[#This Row],[Price]],"")</f>
        <v>-0.10512499999999998</v>
      </c>
      <c r="AJ11" s="183">
        <f>Production[[#This Row],[FINAL PO FOB]]*Production[[#This Row],[QTY]]</f>
        <v>1000000</v>
      </c>
      <c r="AK11" s="183">
        <f>Production[[#This Row],[HL LDP]]*Production[[#This Row],[QTY]]</f>
        <v>1326150</v>
      </c>
      <c r="AL11" s="183">
        <f>Production[[#This Row],[Price]]*Production[[#This Row],[QTY]]</f>
        <v>1200000</v>
      </c>
      <c r="AM11" s="255">
        <f>IFERROR(Production[[#This Row],[FOB]]-VLOOKUP(Production[[#This Row],[GENERIC]],'Pre Costing'!$AG$4:$AN$18,4,FALSE()),"")</f>
        <v>0</v>
      </c>
      <c r="AN11" s="255">
        <f>IFERROR(Production[[#This Row],[HL LDP]]-VLOOKUP(Production[[#This Row],[GENERIC]],'Pre Costing'!$AG$4:$AN$18,8,FALSE()),"")</f>
        <v>1.5000000000000568E-3</v>
      </c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  <c r="BG11" s="244"/>
    </row>
    <row r="12" spans="1:59" ht="18" customHeight="1">
      <c r="A12" s="169" t="s">
        <v>153</v>
      </c>
      <c r="B12" s="169"/>
      <c r="C12" s="170"/>
      <c r="D12" s="171"/>
      <c r="E12" s="171"/>
      <c r="F12" s="172">
        <v>12</v>
      </c>
      <c r="G12" s="173">
        <v>100000</v>
      </c>
      <c r="H12" s="171" t="s">
        <v>82</v>
      </c>
      <c r="I12" s="171"/>
      <c r="J12" s="171"/>
      <c r="K12" s="256"/>
      <c r="L12" s="256"/>
      <c r="M12" s="257">
        <v>8</v>
      </c>
      <c r="N12" s="258" t="s">
        <v>13</v>
      </c>
      <c r="O12" s="259">
        <v>0.161</v>
      </c>
      <c r="P12" s="174"/>
      <c r="Q12" s="175"/>
      <c r="R12" s="176"/>
      <c r="S12" s="177"/>
      <c r="T12" s="178"/>
      <c r="U12" s="254" t="str">
        <f>IFERROR(VLOOKUP(Production[[#This Row],[GENERIC]],'Pre Costing'!$AG$4:$AK$18,2,FALSE()),"")</f>
        <v>ML - JD</v>
      </c>
      <c r="V12" s="179" t="str">
        <f>IFERROR(INDEX(Internal!$A$1:$A$16,MATCH(RIGHT(Production[[#This Row],[Vendor2]],2),Internal!$B$1:$B$16,0)),"")</f>
        <v>JORDAN</v>
      </c>
      <c r="W12" s="179" t="str">
        <f>IFERROR(VLOOKUP(Production[[#This Row],[Vendor2]],Internal!$Z$1:$AA$48,2,FALSE()),"")</f>
        <v>Morelands - JD</v>
      </c>
      <c r="X12" s="179" t="str">
        <f>IFERROR(VLOOKUP(Production[[#This Row],[GENERIC]],'Pre Costing'!$A$4:$D$19,2,FALSE()),"")</f>
        <v>Fleece</v>
      </c>
      <c r="Y12" s="179" t="str">
        <f>IFERROR(VLOOKUP(Production[[#This Row],[GENERIC]],'Pre Costing'!$A$4:$D$19,3,FALSE()),"")</f>
        <v>Champion Fleece</v>
      </c>
      <c r="Z12" s="179" t="str">
        <f>IFERROR(VLOOKUP(Production[[#This Row],[GENERIC]],'Pre Costing'!$A$4:$D$19,4,FALSE()),"")</f>
        <v xml:space="preserve">HLK0041 - 60% Cotton / 40% Poly -  JERSEY -280 GSM </v>
      </c>
      <c r="AA12" s="180">
        <f>IF($A$1="USA",IFERROR(VLOOKUP(Production[[#This Row],[COO]],Internal!$A$1:$C$16,3,FALSE()),0),0)</f>
        <v>0.15</v>
      </c>
      <c r="AB12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0.15</v>
      </c>
      <c r="AC12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8</v>
      </c>
      <c r="AD12" s="182" t="str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No FS</v>
      </c>
      <c r="AE12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1.2</v>
      </c>
      <c r="AF12" s="182">
        <f>IF(OR(TRIM(Production[[#This Row],[Term]])="FOB",TRIM(Production[[#This Row],[Term]])="First Sale",TRIM(Production[[#This Row],[Term]])="Duty Free"),IFERROR(VLOOKUP(Production[[#This Row],[GENERIC]],'Pre Costing'!$A13:$L28,6,FALSE()),0),0)</f>
        <v>0</v>
      </c>
      <c r="AG12" s="182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0</v>
      </c>
      <c r="AH12" s="183">
        <f>Production[[#This Row],[FINAL PO FOB]]+Production[[#This Row],[Duty Amount]]+Production[[#This Row],[Total Freight]]</f>
        <v>9.1999999999999993</v>
      </c>
      <c r="AI12" s="181">
        <f>IFERROR((Production[[#This Row],[Price]]-Production[[#This Row],[HL LDP]])/Production[[#This Row],[Price]],"")</f>
        <v>0.23333333333333339</v>
      </c>
      <c r="AJ12" s="183">
        <f>Production[[#This Row],[FINAL PO FOB]]*Production[[#This Row],[QTY]]</f>
        <v>800000</v>
      </c>
      <c r="AK12" s="183">
        <f>Production[[#This Row],[HL LDP]]*Production[[#This Row],[QTY]]</f>
        <v>919999.99999999988</v>
      </c>
      <c r="AL12" s="183">
        <f>Production[[#This Row],[Price]]*Production[[#This Row],[QTY]]</f>
        <v>1200000</v>
      </c>
      <c r="AM12" s="255">
        <f>IFERROR(Production[[#This Row],[FOB]]-VLOOKUP(Production[[#This Row],[GENERIC]],'Pre Costing'!$AG$4:$AN$18,4,FALSE()),"")</f>
        <v>0</v>
      </c>
      <c r="AN12" s="255">
        <f>IFERROR(Production[[#This Row],[HL LDP]]-VLOOKUP(Production[[#This Row],[GENERIC]],'Pre Costing'!$AG$4:$AN$18,8,FALSE()),"")</f>
        <v>0</v>
      </c>
      <c r="AO12" s="244"/>
      <c r="AP12" s="244"/>
      <c r="AQ12" s="244"/>
      <c r="AR12" s="244"/>
      <c r="AS12" s="244"/>
      <c r="AT12" s="244"/>
      <c r="AU12" s="244"/>
      <c r="AV12" s="244"/>
      <c r="AW12" s="244"/>
      <c r="AX12" s="244"/>
      <c r="AY12" s="244"/>
      <c r="AZ12" s="244"/>
      <c r="BA12" s="244"/>
      <c r="BB12" s="244"/>
      <c r="BC12" s="244"/>
      <c r="BD12" s="244"/>
      <c r="BE12" s="244"/>
      <c r="BF12" s="244"/>
      <c r="BG12" s="244"/>
    </row>
    <row r="13" spans="1:59" ht="18" customHeight="1">
      <c r="A13" s="169" t="s">
        <v>154</v>
      </c>
      <c r="B13" s="169"/>
      <c r="C13" s="170"/>
      <c r="D13" s="171"/>
      <c r="E13" s="171"/>
      <c r="F13" s="172"/>
      <c r="G13" s="173"/>
      <c r="H13" s="171"/>
      <c r="I13" s="171"/>
      <c r="J13" s="171"/>
      <c r="K13" s="256"/>
      <c r="L13" s="256"/>
      <c r="M13" s="257"/>
      <c r="N13" s="258"/>
      <c r="O13" s="259"/>
      <c r="P13" s="174"/>
      <c r="Q13" s="175"/>
      <c r="R13" s="176"/>
      <c r="S13" s="177"/>
      <c r="T13" s="178"/>
      <c r="U13" s="254" t="str">
        <f>IFERROR(VLOOKUP(Production[[#This Row],[GENERIC]],'Pre Costing'!$AG$4:$AK$18,2,FALSE()),"")</f>
        <v/>
      </c>
      <c r="V13" s="179" t="str">
        <f>IFERROR(INDEX(Internal!$A$1:$A$16,MATCH(RIGHT(Production[[#This Row],[Vendor2]],2),Internal!$B$1:$B$16,0)),"")</f>
        <v/>
      </c>
      <c r="W13" s="179" t="str">
        <f>IFERROR(VLOOKUP(Production[[#This Row],[Vendor2]],Internal!$Z$1:$AA$48,2,FALSE()),"")</f>
        <v/>
      </c>
      <c r="X13" s="179" t="str">
        <f>IFERROR(VLOOKUP(Production[[#This Row],[GENERIC]],'Pre Costing'!$A$4:$D$19,2,FALSE()),"")</f>
        <v/>
      </c>
      <c r="Y13" s="179" t="str">
        <f>IFERROR(VLOOKUP(Production[[#This Row],[GENERIC]],'Pre Costing'!$A$4:$D$19,3,FALSE()),"")</f>
        <v/>
      </c>
      <c r="Z13" s="179" t="str">
        <f>IFERROR(VLOOKUP(Production[[#This Row],[GENERIC]],'Pre Costing'!$A$4:$D$19,4,FALSE()),"")</f>
        <v/>
      </c>
      <c r="AA13" s="180">
        <f>IF($A$1="USA",IFERROR(VLOOKUP(Production[[#This Row],[COO]],Internal!$A$1:$C$16,3,FALSE()),0),0)</f>
        <v>0</v>
      </c>
      <c r="AB13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</v>
      </c>
      <c r="AC13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0</v>
      </c>
      <c r="AD13" s="182" t="str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No FS</v>
      </c>
      <c r="AE13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0</v>
      </c>
      <c r="AF13" s="182">
        <f>IF(OR(TRIM(Production[[#This Row],[Term]])="FOB",TRIM(Production[[#This Row],[Term]])="First Sale",TRIM(Production[[#This Row],[Term]])="Duty Free"),IFERROR(VLOOKUP(Production[[#This Row],[GENERIC]],'Pre Costing'!$A14:$L29,6,FALSE()),0),0)</f>
        <v>0</v>
      </c>
      <c r="AG13" s="182" t="e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#N/A</v>
      </c>
      <c r="AH13" s="183" t="e">
        <f>Production[[#This Row],[FINAL PO FOB]]+Production[[#This Row],[Duty Amount]]+Production[[#This Row],[Total Freight]]</f>
        <v>#N/A</v>
      </c>
      <c r="AI13" s="181" t="str">
        <f>IFERROR((Production[[#This Row],[Price]]-Production[[#This Row],[HL LDP]])/Production[[#This Row],[Price]],"")</f>
        <v/>
      </c>
      <c r="AJ13" s="183">
        <f>Production[[#This Row],[FINAL PO FOB]]*Production[[#This Row],[QTY]]</f>
        <v>0</v>
      </c>
      <c r="AK13" s="183" t="e">
        <f>Production[[#This Row],[HL LDP]]*Production[[#This Row],[QTY]]</f>
        <v>#N/A</v>
      </c>
      <c r="AL13" s="183">
        <f>Production[[#This Row],[Price]]*Production[[#This Row],[QTY]]</f>
        <v>0</v>
      </c>
      <c r="AM13" s="255" t="str">
        <f>IFERROR(Production[[#This Row],[FOB]]-VLOOKUP(Production[[#This Row],[GENERIC]],'Pre Costing'!$AG$4:$AN$18,4,FALSE()),"")</f>
        <v/>
      </c>
      <c r="AN13" s="255" t="str">
        <f>IFERROR(Production[[#This Row],[HL LDP]]-VLOOKUP(Production[[#This Row],[GENERIC]],'Pre Costing'!$AG$4:$AN$18,8,FALSE()),"")</f>
        <v/>
      </c>
      <c r="AO13" s="244"/>
      <c r="AP13" s="244"/>
      <c r="AQ13" s="244"/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/>
      <c r="BE13" s="244"/>
      <c r="BF13" s="244"/>
      <c r="BG13" s="244"/>
    </row>
    <row r="14" spans="1:59" ht="18" customHeight="1">
      <c r="A14" s="169" t="s">
        <v>154</v>
      </c>
      <c r="B14" s="169"/>
      <c r="C14" s="170"/>
      <c r="D14" s="171"/>
      <c r="E14" s="171"/>
      <c r="F14" s="172"/>
      <c r="G14" s="173"/>
      <c r="H14" s="171"/>
      <c r="I14" s="171"/>
      <c r="J14" s="171"/>
      <c r="K14" s="256"/>
      <c r="L14" s="256"/>
      <c r="M14" s="257"/>
      <c r="N14" s="258"/>
      <c r="O14" s="259"/>
      <c r="P14" s="174"/>
      <c r="Q14" s="175"/>
      <c r="R14" s="176"/>
      <c r="S14" s="177"/>
      <c r="T14" s="178"/>
      <c r="U14" s="254" t="str">
        <f>IFERROR(VLOOKUP(Production[[#This Row],[GENERIC]],'Pre Costing'!$AG$4:$AK$18,2,FALSE()),"")</f>
        <v/>
      </c>
      <c r="V14" s="179" t="str">
        <f>IFERROR(INDEX(Internal!$A$1:$A$16,MATCH(RIGHT(Production[[#This Row],[Vendor2]],2),Internal!$B$1:$B$16,0)),"")</f>
        <v/>
      </c>
      <c r="W14" s="179" t="str">
        <f>IFERROR(VLOOKUP(Production[[#This Row],[Vendor2]],Internal!$Z$1:$AA$48,2,FALSE()),"")</f>
        <v/>
      </c>
      <c r="X14" s="179" t="str">
        <f>IFERROR(VLOOKUP(Production[[#This Row],[GENERIC]],'Pre Costing'!$A$4:$D$19,2,FALSE()),"")</f>
        <v/>
      </c>
      <c r="Y14" s="179" t="str">
        <f>IFERROR(VLOOKUP(Production[[#This Row],[GENERIC]],'Pre Costing'!$A$4:$D$19,3,FALSE()),"")</f>
        <v/>
      </c>
      <c r="Z14" s="179" t="str">
        <f>IFERROR(VLOOKUP(Production[[#This Row],[GENERIC]],'Pre Costing'!$A$4:$D$19,4,FALSE()),"")</f>
        <v/>
      </c>
      <c r="AA14" s="180">
        <f>IF($A$1="USA",IFERROR(VLOOKUP(Production[[#This Row],[COO]],Internal!$A$1:$C$16,3,FALSE()),0),0)</f>
        <v>0</v>
      </c>
      <c r="AB14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</v>
      </c>
      <c r="AC14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0</v>
      </c>
      <c r="AD14" s="182" t="str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No FS</v>
      </c>
      <c r="AE14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0</v>
      </c>
      <c r="AF14" s="182">
        <f>IF(OR(TRIM(Production[[#This Row],[Term]])="FOB",TRIM(Production[[#This Row],[Term]])="First Sale",TRIM(Production[[#This Row],[Term]])="Duty Free"),IFERROR(VLOOKUP(Production[[#This Row],[GENERIC]],'Pre Costing'!$A16:$L30,6,FALSE()),0),0)</f>
        <v>0</v>
      </c>
      <c r="AG14" s="182" t="e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#N/A</v>
      </c>
      <c r="AH14" s="183" t="e">
        <f>Production[[#This Row],[FINAL PO FOB]]+Production[[#This Row],[Duty Amount]]+Production[[#This Row],[Total Freight]]</f>
        <v>#N/A</v>
      </c>
      <c r="AI14" s="181" t="str">
        <f>IFERROR((Production[[#This Row],[Price]]-Production[[#This Row],[HL LDP]])/Production[[#This Row],[Price]],"")</f>
        <v/>
      </c>
      <c r="AJ14" s="183">
        <f>Production[[#This Row],[FINAL PO FOB]]*Production[[#This Row],[QTY]]</f>
        <v>0</v>
      </c>
      <c r="AK14" s="183" t="e">
        <f>Production[[#This Row],[HL LDP]]*Production[[#This Row],[QTY]]</f>
        <v>#N/A</v>
      </c>
      <c r="AL14" s="183">
        <f>Production[[#This Row],[Price]]*Production[[#This Row],[QTY]]</f>
        <v>0</v>
      </c>
      <c r="AM14" s="255" t="str">
        <f>IFERROR(Production[[#This Row],[FOB]]-VLOOKUP(Production[[#This Row],[GENERIC]],'Pre Costing'!$AG$4:$AN$18,4,FALSE()),"")</f>
        <v/>
      </c>
      <c r="AN14" s="255" t="str">
        <f>IFERROR(Production[[#This Row],[HL LDP]]-VLOOKUP(Production[[#This Row],[GENERIC]],'Pre Costing'!$AG$4:$AN$18,8,FALSE()),"")</f>
        <v/>
      </c>
      <c r="AO14" s="244"/>
      <c r="AP14" s="244"/>
      <c r="AQ14" s="244"/>
      <c r="AR14" s="244"/>
      <c r="AS14" s="244"/>
      <c r="AT14" s="244"/>
      <c r="AU14" s="244"/>
      <c r="AV14" s="244"/>
      <c r="AW14" s="244"/>
      <c r="AX14" s="244"/>
      <c r="AY14" s="244"/>
      <c r="AZ14" s="244"/>
      <c r="BA14" s="244"/>
      <c r="BB14" s="244"/>
      <c r="BC14" s="244"/>
      <c r="BD14" s="244"/>
      <c r="BE14" s="244"/>
      <c r="BF14" s="244"/>
      <c r="BG14" s="244"/>
    </row>
    <row r="15" spans="1:59" ht="18" customHeight="1">
      <c r="A15" s="169" t="s">
        <v>155</v>
      </c>
      <c r="B15" s="169"/>
      <c r="C15" s="170"/>
      <c r="D15" s="171"/>
      <c r="E15" s="171"/>
      <c r="F15" s="172"/>
      <c r="G15" s="173"/>
      <c r="H15" s="171"/>
      <c r="I15" s="171"/>
      <c r="J15" s="171"/>
      <c r="K15" s="256"/>
      <c r="L15" s="256"/>
      <c r="M15" s="257"/>
      <c r="N15" s="258"/>
      <c r="O15" s="259"/>
      <c r="P15" s="174"/>
      <c r="Q15" s="175"/>
      <c r="R15" s="176"/>
      <c r="S15" s="177"/>
      <c r="T15" s="178"/>
      <c r="U15" s="254" t="str">
        <f>IFERROR(VLOOKUP(Production[[#This Row],[GENERIC]],'Pre Costing'!$AG$4:$AK$18,2,FALSE()),"")</f>
        <v/>
      </c>
      <c r="V15" s="179" t="str">
        <f>IFERROR(INDEX(Internal!$A$1:$A$16,MATCH(RIGHT(Production[[#This Row],[Vendor2]],2),Internal!$B$1:$B$16,0)),"")</f>
        <v/>
      </c>
      <c r="W15" s="179" t="str">
        <f>IFERROR(VLOOKUP(Production[[#This Row],[Vendor2]],Internal!$Z$1:$AA$48,2,FALSE()),"")</f>
        <v/>
      </c>
      <c r="X15" s="179" t="str">
        <f>IFERROR(VLOOKUP(Production[[#This Row],[GENERIC]],'Pre Costing'!$A$4:$D$19,2,FALSE()),"")</f>
        <v/>
      </c>
      <c r="Y15" s="179" t="str">
        <f>IFERROR(VLOOKUP(Production[[#This Row],[GENERIC]],'Pre Costing'!$A$4:$D$19,3,FALSE()),"")</f>
        <v/>
      </c>
      <c r="Z15" s="179" t="str">
        <f>IFERROR(VLOOKUP(Production[[#This Row],[GENERIC]],'Pre Costing'!$A$4:$D$19,4,FALSE()),"")</f>
        <v/>
      </c>
      <c r="AA15" s="180">
        <f>IF($A$1="USA",IFERROR(VLOOKUP(Production[[#This Row],[COO]],Internal!$A$1:$C$16,3,FALSE()),0),0)</f>
        <v>0</v>
      </c>
      <c r="AB15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</v>
      </c>
      <c r="AC15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0</v>
      </c>
      <c r="AD15" s="182" t="str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No FS</v>
      </c>
      <c r="AE15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0</v>
      </c>
      <c r="AF15" s="182">
        <f>IF(OR(TRIM(Production[[#This Row],[Term]])="FOB",TRIM(Production[[#This Row],[Term]])="First Sale",TRIM(Production[[#This Row],[Term]])="Duty Free"),IFERROR(VLOOKUP(Production[[#This Row],[GENERIC]],'Pre Costing'!$A17:$L31,6,FALSE()),0),0)</f>
        <v>0</v>
      </c>
      <c r="AG15" s="182" t="e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#N/A</v>
      </c>
      <c r="AH15" s="183" t="e">
        <f>Production[[#This Row],[FINAL PO FOB]]+Production[[#This Row],[Duty Amount]]+Production[[#This Row],[Total Freight]]</f>
        <v>#N/A</v>
      </c>
      <c r="AI15" s="181" t="str">
        <f>IFERROR((Production[[#This Row],[Price]]-Production[[#This Row],[HL LDP]])/Production[[#This Row],[Price]],"")</f>
        <v/>
      </c>
      <c r="AJ15" s="183">
        <f>Production[[#This Row],[FINAL PO FOB]]*Production[[#This Row],[QTY]]</f>
        <v>0</v>
      </c>
      <c r="AK15" s="183" t="e">
        <f>Production[[#This Row],[HL LDP]]*Production[[#This Row],[QTY]]</f>
        <v>#N/A</v>
      </c>
      <c r="AL15" s="183">
        <f>Production[[#This Row],[Price]]*Production[[#This Row],[QTY]]</f>
        <v>0</v>
      </c>
      <c r="AM15" s="255" t="str">
        <f>IFERROR(Production[[#This Row],[FOB]]-VLOOKUP(Production[[#This Row],[GENERIC]],'Pre Costing'!$AG$4:$AN$18,4,FALSE()),"")</f>
        <v/>
      </c>
      <c r="AN15" s="255" t="str">
        <f>IFERROR(Production[[#This Row],[HL LDP]]-VLOOKUP(Production[[#This Row],[GENERIC]],'Pre Costing'!$AG$4:$AN$18,8,FALSE()),"")</f>
        <v/>
      </c>
      <c r="AO15" s="244"/>
      <c r="AP15" s="244"/>
      <c r="AQ15" s="244"/>
      <c r="AR15" s="244"/>
      <c r="AS15" s="244"/>
      <c r="AT15" s="244"/>
      <c r="AU15" s="244"/>
      <c r="AV15" s="244"/>
      <c r="AW15" s="244"/>
      <c r="AX15" s="244"/>
      <c r="AY15" s="244"/>
      <c r="AZ15" s="244"/>
      <c r="BA15" s="244"/>
      <c r="BB15" s="244"/>
      <c r="BC15" s="244"/>
      <c r="BD15" s="244"/>
      <c r="BE15" s="244"/>
      <c r="BF15" s="244"/>
      <c r="BG15" s="244"/>
    </row>
    <row r="16" spans="1:59" ht="18" customHeight="1">
      <c r="A16" s="169"/>
      <c r="B16" s="169"/>
      <c r="C16" s="170"/>
      <c r="D16" s="171"/>
      <c r="E16" s="171"/>
      <c r="F16" s="184"/>
      <c r="G16" s="173"/>
      <c r="H16" s="171"/>
      <c r="I16" s="171"/>
      <c r="J16" s="171"/>
      <c r="K16" s="256"/>
      <c r="L16" s="256"/>
      <c r="M16" s="257"/>
      <c r="N16" s="260"/>
      <c r="O16" s="259"/>
      <c r="P16" s="174"/>
      <c r="Q16" s="175"/>
      <c r="R16" s="176"/>
      <c r="S16" s="177"/>
      <c r="T16" s="178"/>
      <c r="U16" s="254" t="str">
        <f>IFERROR(VLOOKUP(Production[[#This Row],[GENERIC]],'Pre Costing'!$AG$4:$AK$18,2,FALSE()),"")</f>
        <v/>
      </c>
      <c r="V16" s="179" t="str">
        <f>IFERROR(INDEX(Internal!$A$1:$A$16,MATCH(RIGHT(Production[[#This Row],[Vendor2]],2),Internal!$B$1:$B$16,0)),"")</f>
        <v/>
      </c>
      <c r="W16" s="179" t="str">
        <f>IFERROR(VLOOKUP(Production[[#This Row],[Vendor2]],Internal!$Z$1:$AA$48,2,FALSE()),"")</f>
        <v/>
      </c>
      <c r="X16" s="179" t="str">
        <f>IFERROR(VLOOKUP(Production[[#This Row],[GENERIC]],'Pre Costing'!$A$4:$D$19,2,FALSE()),"")</f>
        <v/>
      </c>
      <c r="Y16" s="179" t="str">
        <f>IFERROR(VLOOKUP(Production[[#This Row],[GENERIC]],'Pre Costing'!$A$4:$D$19,3,FALSE()),"")</f>
        <v/>
      </c>
      <c r="Z16" s="179" t="str">
        <f>IFERROR(VLOOKUP(Production[[#This Row],[GENERIC]],'Pre Costing'!$A$4:$D$19,4,FALSE()),"")</f>
        <v/>
      </c>
      <c r="AA16" s="180">
        <f>IF($A$1="USA",IFERROR(VLOOKUP(Production[[#This Row],[COO]],Internal!$A$1:$C$16,3,FALSE()),0),0)</f>
        <v>0</v>
      </c>
      <c r="AB16" s="181">
        <f>IF(Production[[#This Row],[Term]]="FCA",0,IF(OR(Production[[#This Row],[Term]]="CIF",Production[[#This Row],[Term]]="Duty Free"),Production[[#This Row],[Additional Tariff]],Production[[#This Row],[Duty Rate]]+Production[[#This Row],[Additional Tariff]]))</f>
        <v>0</v>
      </c>
      <c r="AC16" s="182">
        <f>IF(Production[[#This Row],[Size Range]]="",Production[[#This Row],[FOB]]+Production[[#This Row],[Packing Cost]],IFERROR(VLOOKUP(Production[[#This Row],[Size Range]],Internal!$AF$1:$AG$4,2,FALSE()),1)*Production[[#This Row],[FOB]]+Production[[#This Row],[Packing Cost]])</f>
        <v>0</v>
      </c>
      <c r="AD16" s="182" t="str">
        <f>IF(Production[[#This Row],[Term]]&lt;&gt;"First Sale","No FS",
IF(AND(OR(Production[[#This Row],[Packing Cost]]&lt;&gt;"",Production[[#This Row],[Size Range]]&lt;&gt;""),ISBLANK(Production[[#This Row],[First Sale Variable]])),"Manual",
IF(AND(OR(Production[[#This Row],[Packing Cost]]&lt;&gt;"",Production[[#This Row],[Size Range]]&lt;&gt;""),Production[[#This Row],[First Sale Variable]]&gt;0),Production[[#This Row],[First Sale Variable]],
IF(AND(Production[[#This Row],[First Sale Variable]]&gt;0,OR(Production[[#This Row],[Packing Cost]]="",Production[[#This Row],[Size Range]]="")),"Check FS",
VLOOKUP(Production[[#This Row],[GENERIC]],'Pre Costing'!AG:AM,7,FALSE)))))</f>
        <v>No FS</v>
      </c>
      <c r="AE16" s="183">
        <f>IF(Production[[#This Row],[Term]]="First Sale",Production[[#This Row],[First Sale]]*Production[[#This Row],[Final Duty]],IF(Production[[#This Row],[Term]]="FCA",0,IF(Production[[#This Row],[Term]]="CIF",Production[[#This Row],[FINAL PO FOB]]*Production[[#This Row],[Final Duty]],IF(Production[[#This Row],[Term]]="Duty Free",Production[[#This Row],[FINAL PO FOB]]*Production[[#This Row],[Additional Tariff]],Production[[#This Row],[FINAL PO FOB]]*Production[[#This Row],[Final Duty]]))))</f>
        <v>0</v>
      </c>
      <c r="AF16" s="182">
        <f>IF(OR(TRIM(Production[[#This Row],[Term]])="FOB",TRIM(Production[[#This Row],[Term]])="First Sale",TRIM(Production[[#This Row],[Term]])="Duty Free"),IFERROR(VLOOKUP(Production[[#This Row],[GENERIC]],'Pre Costing'!$A18:$L32,6,FALSE()),0),0)</f>
        <v>0</v>
      </c>
      <c r="AG16" s="182" t="e">
        <f>MROUND(IF(OR(Production[[#This Row],[Term]]="CIF",Production[[#This Row],[Term]]="FCA"),0,IF($A$1="USA",VLOOKUP(Production[[#This Row],[COO]],Internal!$A$1:$E$17,4,FALSE()),IF($A$1="CANADA",VLOOKUP(Production[[#This Row],[COO]],Internal!$A$1:$E$17,5,FALSE()),0)))*(Production[[#This Row],[Freight]])+Production[[#This Row],[Freight]],0.01)</f>
        <v>#N/A</v>
      </c>
      <c r="AH16" s="183" t="e">
        <f>Production[[#This Row],[FINAL PO FOB]]+Production[[#This Row],[Duty Amount]]+Production[[#This Row],[Total Freight]]</f>
        <v>#N/A</v>
      </c>
      <c r="AI16" s="181" t="str">
        <f>IFERROR((Production[[#This Row],[Price]]-Production[[#This Row],[HL LDP]])/Production[[#This Row],[Price]],"")</f>
        <v/>
      </c>
      <c r="AJ16" s="183">
        <f>Production[[#This Row],[FINAL PO FOB]]*Production[[#This Row],[QTY]]</f>
        <v>0</v>
      </c>
      <c r="AK16" s="183" t="e">
        <f>Production[[#This Row],[HL LDP]]*Production[[#This Row],[QTY]]</f>
        <v>#N/A</v>
      </c>
      <c r="AL16" s="183">
        <f>Production[[#This Row],[Price]]*Production[[#This Row],[QTY]]</f>
        <v>0</v>
      </c>
      <c r="AM16" s="255" t="str">
        <f>IFERROR(Production[[#This Row],[FOB]]-VLOOKUP(Production[[#This Row],[GENERIC]],'Pre Costing'!$AG$4:$AN$18,4,FALSE()),"")</f>
        <v/>
      </c>
      <c r="AN16" s="255" t="str">
        <f>IFERROR(Production[[#This Row],[HL LDP]]-VLOOKUP(Production[[#This Row],[GENERIC]],'Pre Costing'!$AG$4:$AN$18,8,FALSE()),"")</f>
        <v/>
      </c>
      <c r="AO16" s="244"/>
      <c r="AP16" s="244"/>
      <c r="AQ16" s="244"/>
      <c r="AR16" s="244"/>
      <c r="AS16" s="244"/>
      <c r="AT16" s="244"/>
      <c r="AU16" s="244"/>
      <c r="AV16" s="244"/>
      <c r="AW16" s="244"/>
      <c r="AX16" s="244"/>
      <c r="AY16" s="244"/>
      <c r="AZ16" s="244"/>
      <c r="BA16" s="244"/>
      <c r="BB16" s="244"/>
      <c r="BC16" s="244"/>
      <c r="BD16" s="244"/>
      <c r="BE16" s="244"/>
      <c r="BF16" s="244"/>
      <c r="BG16" s="244"/>
    </row>
  </sheetData>
  <mergeCells count="4">
    <mergeCell ref="U1:AN1"/>
    <mergeCell ref="C1:J1"/>
    <mergeCell ref="Q1:T1"/>
    <mergeCell ref="K1:O1"/>
  </mergeCells>
  <conditionalFormatting sqref="AD2:AD16 AG17:AG1048576">
    <cfRule type="containsText" dxfId="6" priority="4" operator="containsText" text="Manual">
      <formula>NOT(ISERROR(SEARCH("Manual",AD2)))</formula>
    </cfRule>
    <cfRule type="containsText" dxfId="5" priority="5" operator="containsText" text="Check FS">
      <formula>NOT(ISERROR(SEARCH("Check FS",AD2)))</formula>
    </cfRule>
  </conditionalFormatting>
  <conditionalFormatting sqref="AM3:AN16">
    <cfRule type="cellIs" dxfId="4" priority="2" operator="lessThan">
      <formula>-0.01</formula>
    </cfRule>
    <cfRule type="cellIs" dxfId="3" priority="3" operator="greaterThan">
      <formula>0.01</formula>
    </cfRule>
  </conditionalFormatting>
  <dataValidations count="1">
    <dataValidation type="list" allowBlank="1" showInputMessage="1" showErrorMessage="1" sqref="A1:B1" xr:uid="{00000000-0002-0000-0200-000000000000}">
      <formula1>"USA,CANADA"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650ADE8-7FB8-ED4A-9C68-9BA296C497D9}">
          <x14:formula1>
            <xm:f>Internal!$AM$1:$AM$6</xm:f>
          </x14:formula1>
          <xm:sqref>N3:N16</xm:sqref>
        </x14:dataValidation>
        <x14:dataValidation type="list" allowBlank="1" showInputMessage="1" showErrorMessage="1" xr:uid="{BC38D928-F49C-CB4B-B3D8-51961AD40C55}">
          <x14:formula1>
            <xm:f>Internal!$AC$1:$AC$7</xm:f>
          </x14:formula1>
          <xm:sqref>Q3:Q16</xm:sqref>
        </x14:dataValidation>
        <x14:dataValidation type="list" allowBlank="1" showInputMessage="1" showErrorMessage="1" xr:uid="{574F4756-4F27-284A-8D2B-DD501EF8E807}">
          <x14:formula1>
            <xm:f>Internal!$AF$2:$AF$4</xm:f>
          </x14:formula1>
          <xm:sqref>S3:S16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M71"/>
  <sheetViews>
    <sheetView zoomScale="107" zoomScaleNormal="180" workbookViewId="0">
      <selection activeCell="G5" sqref="G5"/>
    </sheetView>
  </sheetViews>
  <sheetFormatPr baseColWidth="10" defaultColWidth="11.5" defaultRowHeight="15"/>
  <cols>
    <col min="1" max="1" width="14" bestFit="1" customWidth="1"/>
    <col min="2" max="2" width="7.83203125" customWidth="1"/>
    <col min="3" max="3" width="10.33203125" style="41" customWidth="1"/>
    <col min="4" max="4" width="8.5" customWidth="1"/>
    <col min="5" max="5" width="9" customWidth="1"/>
    <col min="6" max="6" width="6.6640625" customWidth="1"/>
    <col min="7" max="7" width="11" style="41" customWidth="1"/>
    <col min="8" max="8" width="7.1640625" style="41" bestFit="1" customWidth="1"/>
    <col min="9" max="9" width="13.33203125" style="41" customWidth="1"/>
    <col min="10" max="10" width="7.33203125" style="41" bestFit="1" customWidth="1"/>
    <col min="11" max="11" width="10.83203125" style="41" customWidth="1"/>
    <col min="12" max="12" width="12.83203125" style="41" bestFit="1" customWidth="1"/>
    <col min="13" max="13" width="14.5" style="41" bestFit="1" customWidth="1"/>
    <col min="14" max="14" width="16.83203125" style="41" customWidth="1"/>
    <col min="15" max="15" width="6" style="41" customWidth="1"/>
    <col min="16" max="16" width="14.5" customWidth="1"/>
    <col min="17" max="18" width="11.5" customWidth="1"/>
    <col min="19" max="20" width="12.6640625" customWidth="1"/>
    <col min="21" max="23" width="13.5" style="41" customWidth="1"/>
    <col min="24" max="24" width="16.83203125" style="41" customWidth="1"/>
    <col min="25" max="25" width="13.5" style="41" customWidth="1"/>
    <col min="26" max="26" width="12.6640625" bestFit="1" customWidth="1"/>
    <col min="27" max="27" width="22.5" bestFit="1" customWidth="1"/>
    <col min="29" max="29" width="13.1640625" bestFit="1" customWidth="1"/>
    <col min="35" max="35" width="15.33203125" customWidth="1"/>
  </cols>
  <sheetData>
    <row r="1" spans="1:39" ht="31">
      <c r="A1" s="42" t="s">
        <v>130</v>
      </c>
      <c r="B1" s="43" t="s">
        <v>159</v>
      </c>
      <c r="C1" s="194" t="s">
        <v>135</v>
      </c>
      <c r="D1" s="44" t="s">
        <v>15</v>
      </c>
      <c r="E1" s="45" t="s">
        <v>160</v>
      </c>
      <c r="F1" s="30"/>
      <c r="G1" s="225" t="s">
        <v>161</v>
      </c>
      <c r="H1" s="226" t="s">
        <v>316</v>
      </c>
      <c r="I1" s="227" t="s">
        <v>162</v>
      </c>
      <c r="J1" s="230" t="s">
        <v>163</v>
      </c>
      <c r="K1" s="225" t="s">
        <v>233</v>
      </c>
      <c r="L1" s="233" t="s">
        <v>317</v>
      </c>
      <c r="M1" s="227" t="s">
        <v>234</v>
      </c>
      <c r="N1" s="228" t="s">
        <v>235</v>
      </c>
      <c r="O1" s="46"/>
      <c r="P1" s="214" t="s">
        <v>130</v>
      </c>
      <c r="Q1" s="215" t="s">
        <v>161</v>
      </c>
      <c r="R1" s="215" t="s">
        <v>319</v>
      </c>
      <c r="S1" s="216" t="s">
        <v>162</v>
      </c>
      <c r="T1" s="218"/>
      <c r="U1" s="222" t="s">
        <v>233</v>
      </c>
      <c r="V1" s="215" t="s">
        <v>320</v>
      </c>
      <c r="W1" s="216" t="s">
        <v>234</v>
      </c>
      <c r="X1" s="217" t="s">
        <v>321</v>
      </c>
      <c r="Y1" s="46"/>
      <c r="Z1" s="47" t="s">
        <v>14</v>
      </c>
      <c r="AA1" s="47" t="s">
        <v>164</v>
      </c>
      <c r="AB1" s="48"/>
      <c r="AC1" s="234" t="s">
        <v>165</v>
      </c>
      <c r="AD1" s="47" t="s">
        <v>126</v>
      </c>
      <c r="AE1" s="30"/>
      <c r="AF1" s="47" t="s">
        <v>127</v>
      </c>
      <c r="AG1" s="47" t="s">
        <v>166</v>
      </c>
      <c r="AH1" s="30"/>
      <c r="AI1" s="26" t="s">
        <v>167</v>
      </c>
      <c r="AJ1" s="235" t="s">
        <v>315</v>
      </c>
      <c r="AK1" s="26" t="s">
        <v>315</v>
      </c>
      <c r="AL1" s="30"/>
      <c r="AM1" s="26" t="s">
        <v>123</v>
      </c>
    </row>
    <row r="2" spans="1:39" ht="15" customHeight="1">
      <c r="A2" s="49" t="s">
        <v>168</v>
      </c>
      <c r="B2" s="50" t="s">
        <v>169</v>
      </c>
      <c r="C2" s="51">
        <v>0.1</v>
      </c>
      <c r="D2" s="52">
        <f>IF(ISBLANK(G2),R2,H2)</f>
        <v>1.5</v>
      </c>
      <c r="E2" s="53">
        <f t="shared" ref="E2:E16" si="0">IF(ISBLANK(K2),V2,L2)</f>
        <v>1.5714285714285714</v>
      </c>
      <c r="F2" s="30"/>
      <c r="G2" s="203"/>
      <c r="H2" s="54">
        <f>(G2-$Q2)/$Q2</f>
        <v>-1</v>
      </c>
      <c r="I2" s="206"/>
      <c r="J2" s="231">
        <f>(I2-$S2)/$S2</f>
        <v>-1</v>
      </c>
      <c r="K2" s="203"/>
      <c r="L2" s="54">
        <f t="shared" ref="L2:L16" si="1">(K2-$U2)/$U2</f>
        <v>-1</v>
      </c>
      <c r="M2" s="206"/>
      <c r="N2" s="208">
        <f t="shared" ref="N2:N16" si="2">(M2-$W2)/$W2</f>
        <v>-1</v>
      </c>
      <c r="O2" s="55"/>
      <c r="P2" s="210" t="s">
        <v>168</v>
      </c>
      <c r="Q2" s="211">
        <v>4500</v>
      </c>
      <c r="R2" s="212">
        <f t="shared" ref="R2:R16" si="3">Q2/$S$17</f>
        <v>1.5</v>
      </c>
      <c r="S2" s="213">
        <v>6000</v>
      </c>
      <c r="T2" s="219"/>
      <c r="U2" s="223">
        <v>5500</v>
      </c>
      <c r="V2" s="196">
        <f t="shared" ref="V2:V16" si="4">U2/$X$17</f>
        <v>1.5714285714285714</v>
      </c>
      <c r="W2" s="197">
        <v>3000</v>
      </c>
      <c r="X2" s="65"/>
      <c r="Y2" s="55"/>
      <c r="Z2" s="56" t="s">
        <v>170</v>
      </c>
      <c r="AA2" s="56" t="s">
        <v>157</v>
      </c>
      <c r="AB2" s="57"/>
      <c r="AC2" s="26" t="s">
        <v>171</v>
      </c>
      <c r="AD2" s="26">
        <v>0</v>
      </c>
      <c r="AE2" s="30"/>
      <c r="AF2" s="26"/>
      <c r="AG2" s="26">
        <v>0</v>
      </c>
      <c r="AH2" s="30"/>
      <c r="AI2" s="26" t="s">
        <v>172</v>
      </c>
      <c r="AJ2" s="235">
        <v>0.69</v>
      </c>
      <c r="AK2" s="236">
        <v>0.31</v>
      </c>
      <c r="AL2" s="30"/>
      <c r="AM2" s="26" t="s">
        <v>13</v>
      </c>
    </row>
    <row r="3" spans="1:39" ht="15" customHeight="1">
      <c r="A3" s="58" t="s">
        <v>173</v>
      </c>
      <c r="B3" s="59" t="s">
        <v>17</v>
      </c>
      <c r="C3" s="60">
        <v>0.19</v>
      </c>
      <c r="D3" s="61">
        <f>IF(ISBLANK(G3),R3,H3)</f>
        <v>1.5</v>
      </c>
      <c r="E3" s="62">
        <f t="shared" si="0"/>
        <v>1.5714285714285714</v>
      </c>
      <c r="F3" s="30"/>
      <c r="G3" s="203"/>
      <c r="H3" s="54">
        <f t="shared" ref="H3:H16" si="5">(G3-$Q3)/$Q3</f>
        <v>-1</v>
      </c>
      <c r="I3" s="206"/>
      <c r="J3" s="231">
        <f t="shared" ref="J3:J16" si="6">(I3-$S3)/$S3</f>
        <v>-1</v>
      </c>
      <c r="K3" s="203"/>
      <c r="L3" s="54">
        <f t="shared" si="1"/>
        <v>-1</v>
      </c>
      <c r="M3" s="206"/>
      <c r="N3" s="208">
        <f t="shared" si="2"/>
        <v>-1</v>
      </c>
      <c r="O3" s="55"/>
      <c r="P3" s="63" t="s">
        <v>173</v>
      </c>
      <c r="Q3" s="64">
        <v>4500</v>
      </c>
      <c r="R3" s="196">
        <f t="shared" si="3"/>
        <v>1.5</v>
      </c>
      <c r="S3" s="197">
        <v>3500</v>
      </c>
      <c r="T3" s="220"/>
      <c r="U3" s="223">
        <v>5500</v>
      </c>
      <c r="V3" s="196">
        <f t="shared" si="4"/>
        <v>1.5714285714285714</v>
      </c>
      <c r="W3" s="197">
        <v>3500</v>
      </c>
      <c r="X3" s="65"/>
      <c r="Y3" s="55"/>
      <c r="Z3" s="56" t="s">
        <v>77</v>
      </c>
      <c r="AA3" s="56" t="s">
        <v>310</v>
      </c>
      <c r="AB3" s="57"/>
      <c r="AC3" s="26" t="s">
        <v>174</v>
      </c>
      <c r="AD3" s="26">
        <v>0.15</v>
      </c>
      <c r="AE3" s="30"/>
      <c r="AF3" s="26" t="s">
        <v>175</v>
      </c>
      <c r="AG3" s="26">
        <v>1.1200000000000001</v>
      </c>
      <c r="AH3" s="30"/>
      <c r="AI3" s="26" t="s">
        <v>176</v>
      </c>
      <c r="AJ3" s="235">
        <v>0.5</v>
      </c>
      <c r="AK3" s="236">
        <v>0.5</v>
      </c>
      <c r="AL3" s="30"/>
      <c r="AM3" s="26" t="s">
        <v>177</v>
      </c>
    </row>
    <row r="4" spans="1:39" ht="15" customHeight="1">
      <c r="A4" s="49" t="s">
        <v>178</v>
      </c>
      <c r="B4" s="50" t="s">
        <v>179</v>
      </c>
      <c r="C4" s="66">
        <v>0.27500000000000002</v>
      </c>
      <c r="D4" s="52">
        <f>IF(ISBLANK(G4),R4,H4)</f>
        <v>-0.55555555555555558</v>
      </c>
      <c r="E4" s="53">
        <f t="shared" si="0"/>
        <v>1.5714285714285714</v>
      </c>
      <c r="F4" s="30"/>
      <c r="G4" s="203">
        <v>2000</v>
      </c>
      <c r="H4" s="54">
        <f t="shared" si="5"/>
        <v>-0.55555555555555558</v>
      </c>
      <c r="I4" s="206"/>
      <c r="J4" s="231">
        <f t="shared" si="6"/>
        <v>-1</v>
      </c>
      <c r="K4" s="203"/>
      <c r="L4" s="54">
        <f t="shared" si="1"/>
        <v>-1</v>
      </c>
      <c r="M4" s="206"/>
      <c r="N4" s="208">
        <f t="shared" si="2"/>
        <v>-1</v>
      </c>
      <c r="O4" s="55"/>
      <c r="P4" s="63" t="s">
        <v>178</v>
      </c>
      <c r="Q4" s="64">
        <v>4500</v>
      </c>
      <c r="R4" s="196">
        <f t="shared" si="3"/>
        <v>1.5</v>
      </c>
      <c r="S4" s="197">
        <v>3500</v>
      </c>
      <c r="T4" s="220"/>
      <c r="U4" s="223">
        <v>5500</v>
      </c>
      <c r="V4" s="196">
        <f t="shared" si="4"/>
        <v>1.5714285714285714</v>
      </c>
      <c r="W4" s="197">
        <v>3000</v>
      </c>
      <c r="X4" s="65"/>
      <c r="Y4" s="55"/>
      <c r="Z4" s="56" t="s">
        <v>200</v>
      </c>
      <c r="AA4" s="56" t="s">
        <v>201</v>
      </c>
      <c r="AB4" s="57"/>
      <c r="AC4" s="26" t="s">
        <v>180</v>
      </c>
      <c r="AD4" s="26">
        <v>0.18</v>
      </c>
      <c r="AE4" s="30"/>
      <c r="AF4" s="26" t="s">
        <v>181</v>
      </c>
      <c r="AG4" s="26">
        <v>0.95</v>
      </c>
      <c r="AH4" s="30"/>
      <c r="AI4" s="26" t="s">
        <v>182</v>
      </c>
      <c r="AJ4" s="235">
        <v>0.6</v>
      </c>
      <c r="AK4" s="236">
        <v>0.4</v>
      </c>
      <c r="AL4" s="30"/>
      <c r="AM4" s="26" t="s">
        <v>183</v>
      </c>
    </row>
    <row r="5" spans="1:39" ht="15" customHeight="1">
      <c r="A5" s="58" t="s">
        <v>184</v>
      </c>
      <c r="B5" s="59" t="s">
        <v>185</v>
      </c>
      <c r="C5" s="60">
        <v>0.1</v>
      </c>
      <c r="D5" s="61">
        <f>IF(ISBLANK(G5),R5,H5)</f>
        <v>1.5</v>
      </c>
      <c r="E5" s="62">
        <f t="shared" si="0"/>
        <v>0</v>
      </c>
      <c r="F5" s="30"/>
      <c r="G5" s="203"/>
      <c r="H5" s="54">
        <f t="shared" si="5"/>
        <v>-1</v>
      </c>
      <c r="I5" s="206"/>
      <c r="J5" s="231" t="e">
        <f t="shared" si="6"/>
        <v>#DIV/0!</v>
      </c>
      <c r="K5" s="203"/>
      <c r="L5" s="54" t="e">
        <f t="shared" si="1"/>
        <v>#DIV/0!</v>
      </c>
      <c r="M5" s="206"/>
      <c r="N5" s="208" t="e">
        <f t="shared" si="2"/>
        <v>#DIV/0!</v>
      </c>
      <c r="O5" s="55"/>
      <c r="P5" s="63" t="s">
        <v>184</v>
      </c>
      <c r="Q5" s="64">
        <v>4500</v>
      </c>
      <c r="R5" s="196">
        <f t="shared" si="3"/>
        <v>1.5</v>
      </c>
      <c r="S5" s="197"/>
      <c r="T5" s="220"/>
      <c r="U5" s="223"/>
      <c r="V5" s="196">
        <f t="shared" si="4"/>
        <v>0</v>
      </c>
      <c r="W5" s="64"/>
      <c r="X5" s="68"/>
      <c r="Y5" s="55"/>
      <c r="Z5" s="56" t="s">
        <v>205</v>
      </c>
      <c r="AA5" s="56" t="s">
        <v>206</v>
      </c>
      <c r="AB5" s="57"/>
      <c r="AC5" s="26" t="s">
        <v>186</v>
      </c>
      <c r="AD5" s="26"/>
      <c r="AE5" s="30"/>
      <c r="AF5" s="30"/>
      <c r="AG5" s="30"/>
      <c r="AH5" s="30"/>
      <c r="AI5" s="26" t="s">
        <v>187</v>
      </c>
      <c r="AJ5" s="235">
        <v>0.5</v>
      </c>
      <c r="AK5" s="236">
        <v>0.5</v>
      </c>
      <c r="AL5" s="30"/>
      <c r="AM5" s="26" t="s">
        <v>12</v>
      </c>
    </row>
    <row r="6" spans="1:39" ht="15" customHeight="1">
      <c r="A6" s="49" t="s">
        <v>313</v>
      </c>
      <c r="B6" s="50" t="s">
        <v>314</v>
      </c>
      <c r="C6" s="66">
        <v>0.15</v>
      </c>
      <c r="D6" s="52">
        <f t="shared" ref="D6:D16" si="7">IF(ISBLANK(G6),R6,H6)</f>
        <v>2</v>
      </c>
      <c r="E6" s="53">
        <f t="shared" si="0"/>
        <v>2</v>
      </c>
      <c r="F6" s="30"/>
      <c r="G6" s="203"/>
      <c r="H6" s="54">
        <f t="shared" si="5"/>
        <v>-1</v>
      </c>
      <c r="I6" s="206"/>
      <c r="J6" s="231">
        <f t="shared" si="6"/>
        <v>-1</v>
      </c>
      <c r="K6" s="203"/>
      <c r="L6" s="54">
        <f t="shared" si="1"/>
        <v>-1</v>
      </c>
      <c r="M6" s="206"/>
      <c r="N6" s="208">
        <f t="shared" si="2"/>
        <v>-1</v>
      </c>
      <c r="O6" s="55"/>
      <c r="P6" s="63" t="s">
        <v>313</v>
      </c>
      <c r="Q6" s="64">
        <v>6000</v>
      </c>
      <c r="R6" s="196">
        <f t="shared" si="3"/>
        <v>2</v>
      </c>
      <c r="S6" s="197">
        <v>8000</v>
      </c>
      <c r="T6" s="220"/>
      <c r="U6" s="223">
        <v>7000</v>
      </c>
      <c r="V6" s="196">
        <f t="shared" si="4"/>
        <v>2</v>
      </c>
      <c r="W6" s="197">
        <v>7000</v>
      </c>
      <c r="X6" s="65"/>
      <c r="Y6" s="55"/>
      <c r="Z6" s="56" t="s">
        <v>311</v>
      </c>
      <c r="AA6" s="56" t="s">
        <v>312</v>
      </c>
      <c r="AB6" s="57"/>
      <c r="AC6" s="26" t="s">
        <v>190</v>
      </c>
      <c r="AD6" s="26"/>
      <c r="AE6" s="30"/>
      <c r="AF6" s="30"/>
      <c r="AG6" s="30"/>
      <c r="AH6" s="30"/>
      <c r="AI6" s="26" t="s">
        <v>191</v>
      </c>
      <c r="AJ6" s="237">
        <v>0.64500000000000002</v>
      </c>
      <c r="AK6" s="236">
        <v>0.35499999999999998</v>
      </c>
      <c r="AL6" s="30"/>
      <c r="AM6" s="26" t="s">
        <v>138</v>
      </c>
    </row>
    <row r="7" spans="1:39" ht="15" customHeight="1">
      <c r="A7" s="58" t="s">
        <v>188</v>
      </c>
      <c r="B7" s="59" t="s">
        <v>189</v>
      </c>
      <c r="C7" s="60">
        <v>0.1</v>
      </c>
      <c r="D7" s="61">
        <f t="shared" si="7"/>
        <v>2.1666666666666665</v>
      </c>
      <c r="E7" s="62">
        <f t="shared" si="0"/>
        <v>0</v>
      </c>
      <c r="F7" s="30"/>
      <c r="G7" s="203"/>
      <c r="H7" s="54">
        <f t="shared" si="5"/>
        <v>-1</v>
      </c>
      <c r="I7" s="206"/>
      <c r="J7" s="231" t="e">
        <f t="shared" si="6"/>
        <v>#DIV/0!</v>
      </c>
      <c r="K7" s="203"/>
      <c r="L7" s="54" t="e">
        <f t="shared" si="1"/>
        <v>#DIV/0!</v>
      </c>
      <c r="M7" s="206"/>
      <c r="N7" s="208" t="e">
        <f t="shared" si="2"/>
        <v>#DIV/0!</v>
      </c>
      <c r="O7" s="55"/>
      <c r="P7" s="63" t="s">
        <v>188</v>
      </c>
      <c r="Q7" s="64">
        <v>6500</v>
      </c>
      <c r="R7" s="196">
        <f t="shared" si="3"/>
        <v>2.1666666666666665</v>
      </c>
      <c r="S7" s="197"/>
      <c r="T7" s="220"/>
      <c r="U7" s="223"/>
      <c r="V7" s="196">
        <f t="shared" si="4"/>
        <v>0</v>
      </c>
      <c r="W7" s="64"/>
      <c r="X7" s="68"/>
      <c r="Y7" s="55"/>
      <c r="Z7" s="56" t="s">
        <v>64</v>
      </c>
      <c r="AA7" s="56" t="s">
        <v>156</v>
      </c>
      <c r="AB7" s="57"/>
      <c r="AC7" s="26" t="s">
        <v>193</v>
      </c>
      <c r="AD7" s="26"/>
      <c r="AE7" s="30"/>
      <c r="AF7" s="30"/>
      <c r="AG7" s="30"/>
      <c r="AH7" s="30"/>
      <c r="AI7" s="26" t="s">
        <v>194</v>
      </c>
      <c r="AJ7" s="235">
        <v>0.6</v>
      </c>
      <c r="AK7" s="236">
        <v>0.4</v>
      </c>
      <c r="AL7" s="30"/>
      <c r="AM7" s="30"/>
    </row>
    <row r="8" spans="1:39" ht="15" customHeight="1">
      <c r="A8" s="49" t="s">
        <v>192</v>
      </c>
      <c r="B8" s="50" t="s">
        <v>18</v>
      </c>
      <c r="C8" s="66">
        <v>0.19</v>
      </c>
      <c r="D8" s="52">
        <f t="shared" si="7"/>
        <v>1.5</v>
      </c>
      <c r="E8" s="53">
        <f t="shared" si="0"/>
        <v>1.4285714285714286</v>
      </c>
      <c r="F8" s="30"/>
      <c r="G8" s="229"/>
      <c r="H8" s="54">
        <f t="shared" si="5"/>
        <v>-1</v>
      </c>
      <c r="I8" s="206"/>
      <c r="J8" s="231">
        <f t="shared" si="6"/>
        <v>-1</v>
      </c>
      <c r="K8" s="203"/>
      <c r="L8" s="54">
        <f t="shared" si="1"/>
        <v>-1</v>
      </c>
      <c r="M8" s="206"/>
      <c r="N8" s="208">
        <f t="shared" si="2"/>
        <v>-1</v>
      </c>
      <c r="O8" s="55"/>
      <c r="P8" s="63" t="s">
        <v>192</v>
      </c>
      <c r="Q8" s="64">
        <v>4500</v>
      </c>
      <c r="R8" s="196">
        <f t="shared" si="3"/>
        <v>1.5</v>
      </c>
      <c r="S8" s="197">
        <v>3500</v>
      </c>
      <c r="T8" s="220"/>
      <c r="U8" s="223">
        <v>5000</v>
      </c>
      <c r="V8" s="196">
        <f t="shared" si="4"/>
        <v>1.4285714285714286</v>
      </c>
      <c r="W8" s="197">
        <v>3000</v>
      </c>
      <c r="X8" s="65"/>
      <c r="Y8" s="55"/>
      <c r="Z8" s="56" t="s">
        <v>216</v>
      </c>
      <c r="AA8" s="56" t="s">
        <v>217</v>
      </c>
      <c r="AB8" s="57"/>
      <c r="AC8" s="30"/>
      <c r="AD8" s="30"/>
      <c r="AE8" s="30"/>
      <c r="AF8" s="30"/>
      <c r="AG8" s="30"/>
      <c r="AH8" s="30"/>
      <c r="AI8" s="26" t="s">
        <v>198</v>
      </c>
      <c r="AJ8" s="235">
        <v>0.55000000000000004</v>
      </c>
      <c r="AK8" s="54">
        <v>0.45</v>
      </c>
      <c r="AL8" s="30"/>
      <c r="AM8" s="30"/>
    </row>
    <row r="9" spans="1:39" ht="15" customHeight="1">
      <c r="A9" s="58" t="s">
        <v>195</v>
      </c>
      <c r="B9" s="59" t="s">
        <v>196</v>
      </c>
      <c r="C9" s="60">
        <v>0.1</v>
      </c>
      <c r="D9" s="61">
        <f t="shared" si="7"/>
        <v>1.5</v>
      </c>
      <c r="E9" s="62">
        <f t="shared" si="0"/>
        <v>1.4285714285714286</v>
      </c>
      <c r="F9" s="30"/>
      <c r="G9" s="229"/>
      <c r="H9" s="54">
        <f t="shared" si="5"/>
        <v>-1</v>
      </c>
      <c r="I9" s="206"/>
      <c r="J9" s="231" t="e">
        <f t="shared" si="6"/>
        <v>#DIV/0!</v>
      </c>
      <c r="K9" s="203"/>
      <c r="L9" s="54">
        <f t="shared" si="1"/>
        <v>-1</v>
      </c>
      <c r="M9" s="206"/>
      <c r="N9" s="208" t="e">
        <f t="shared" si="2"/>
        <v>#DIV/0!</v>
      </c>
      <c r="O9" s="55"/>
      <c r="P9" s="63" t="s">
        <v>197</v>
      </c>
      <c r="Q9" s="64">
        <v>4500</v>
      </c>
      <c r="R9" s="196">
        <f t="shared" si="3"/>
        <v>1.5</v>
      </c>
      <c r="S9" s="197"/>
      <c r="T9" s="220"/>
      <c r="U9" s="223">
        <v>5000</v>
      </c>
      <c r="V9" s="196">
        <f t="shared" si="4"/>
        <v>1.4285714285714286</v>
      </c>
      <c r="W9" s="197"/>
      <c r="X9" s="65"/>
      <c r="Y9" s="55"/>
      <c r="Z9" s="56" t="s">
        <v>221</v>
      </c>
      <c r="AA9" s="56" t="s">
        <v>222</v>
      </c>
      <c r="AB9" s="57"/>
      <c r="AC9" s="30"/>
      <c r="AD9" s="30"/>
      <c r="AE9" s="30"/>
      <c r="AF9" s="30"/>
      <c r="AG9" s="30"/>
      <c r="AH9" s="30"/>
      <c r="AI9" s="26" t="s">
        <v>202</v>
      </c>
      <c r="AJ9" s="235">
        <v>0.55000000000000004</v>
      </c>
      <c r="AK9" s="54">
        <v>0.45</v>
      </c>
      <c r="AL9" s="30"/>
      <c r="AM9" s="30"/>
    </row>
    <row r="10" spans="1:39" ht="15" customHeight="1">
      <c r="A10" s="49" t="s">
        <v>199</v>
      </c>
      <c r="B10" s="50" t="s">
        <v>19</v>
      </c>
      <c r="C10" s="66">
        <v>0.15</v>
      </c>
      <c r="D10" s="52">
        <f t="shared" si="7"/>
        <v>2</v>
      </c>
      <c r="E10" s="53">
        <f t="shared" si="0"/>
        <v>1.2857142857142858</v>
      </c>
      <c r="F10" s="30"/>
      <c r="G10" s="203"/>
      <c r="H10" s="54">
        <f t="shared" si="5"/>
        <v>-1</v>
      </c>
      <c r="I10" s="206"/>
      <c r="J10" s="231" t="e">
        <f t="shared" si="6"/>
        <v>#DIV/0!</v>
      </c>
      <c r="K10" s="203"/>
      <c r="L10" s="54">
        <f t="shared" si="1"/>
        <v>-1</v>
      </c>
      <c r="M10" s="206"/>
      <c r="N10" s="208" t="e">
        <f t="shared" si="2"/>
        <v>#DIV/0!</v>
      </c>
      <c r="O10" s="55"/>
      <c r="P10" s="63" t="s">
        <v>199</v>
      </c>
      <c r="Q10" s="64">
        <v>6000</v>
      </c>
      <c r="R10" s="196">
        <f t="shared" si="3"/>
        <v>2</v>
      </c>
      <c r="S10" s="197"/>
      <c r="T10" s="220"/>
      <c r="U10" s="223">
        <v>4500</v>
      </c>
      <c r="V10" s="196">
        <f t="shared" si="4"/>
        <v>1.2857142857142858</v>
      </c>
      <c r="W10" s="197"/>
      <c r="X10" s="65"/>
      <c r="Y10" s="55"/>
      <c r="Z10" s="56" t="s">
        <v>226</v>
      </c>
      <c r="AA10" s="56" t="s">
        <v>227</v>
      </c>
      <c r="AB10" s="57"/>
      <c r="AC10" s="30"/>
      <c r="AD10" s="30"/>
      <c r="AE10" s="30"/>
      <c r="AF10" s="30"/>
      <c r="AG10" s="30"/>
      <c r="AH10" s="30"/>
      <c r="AI10" s="26" t="s">
        <v>207</v>
      </c>
      <c r="AJ10" s="235">
        <v>0.6</v>
      </c>
      <c r="AK10" s="236">
        <v>0.4</v>
      </c>
      <c r="AL10" s="30"/>
      <c r="AM10" s="30"/>
    </row>
    <row r="11" spans="1:39" ht="15" customHeight="1">
      <c r="A11" s="58" t="s">
        <v>203</v>
      </c>
      <c r="B11" s="59" t="s">
        <v>204</v>
      </c>
      <c r="C11" s="60">
        <v>0.1</v>
      </c>
      <c r="D11" s="61">
        <f t="shared" si="7"/>
        <v>2</v>
      </c>
      <c r="E11" s="62">
        <f t="shared" si="0"/>
        <v>2</v>
      </c>
      <c r="F11" s="30"/>
      <c r="G11" s="203"/>
      <c r="H11" s="54">
        <f t="shared" si="5"/>
        <v>-1</v>
      </c>
      <c r="I11" s="206"/>
      <c r="J11" s="231">
        <f t="shared" si="6"/>
        <v>-1</v>
      </c>
      <c r="K11" s="203"/>
      <c r="L11" s="54">
        <f t="shared" si="1"/>
        <v>-1</v>
      </c>
      <c r="M11" s="206"/>
      <c r="N11" s="208">
        <f t="shared" si="2"/>
        <v>-1</v>
      </c>
      <c r="O11" s="55"/>
      <c r="P11" s="63" t="s">
        <v>203</v>
      </c>
      <c r="Q11" s="64">
        <v>6000</v>
      </c>
      <c r="R11" s="196">
        <f t="shared" si="3"/>
        <v>2</v>
      </c>
      <c r="S11" s="197">
        <v>7000</v>
      </c>
      <c r="T11" s="220"/>
      <c r="U11" s="223">
        <v>7000</v>
      </c>
      <c r="V11" s="196">
        <f t="shared" si="4"/>
        <v>2</v>
      </c>
      <c r="W11" s="197">
        <v>7000</v>
      </c>
      <c r="X11" s="65"/>
      <c r="Y11" s="55"/>
      <c r="Z11" s="56" t="s">
        <v>230</v>
      </c>
      <c r="AA11" s="56" t="s">
        <v>231</v>
      </c>
      <c r="AB11" s="57"/>
      <c r="AC11" s="30"/>
      <c r="AD11" s="30"/>
      <c r="AE11" s="30"/>
      <c r="AF11" s="30"/>
      <c r="AG11" s="30"/>
      <c r="AH11" s="30"/>
      <c r="AI11" s="26" t="s">
        <v>210</v>
      </c>
      <c r="AJ11" s="235">
        <v>0.69</v>
      </c>
      <c r="AK11" s="236">
        <v>0.31</v>
      </c>
      <c r="AL11" s="30"/>
      <c r="AM11" s="30"/>
    </row>
    <row r="12" spans="1:39" ht="15" customHeight="1">
      <c r="A12" s="49" t="s">
        <v>208</v>
      </c>
      <c r="B12" s="50" t="s">
        <v>209</v>
      </c>
      <c r="C12" s="66">
        <v>0.15</v>
      </c>
      <c r="D12" s="52">
        <f t="shared" si="7"/>
        <v>2</v>
      </c>
      <c r="E12" s="53">
        <f t="shared" si="0"/>
        <v>2.2857142857142856</v>
      </c>
      <c r="F12" s="30"/>
      <c r="G12" s="203"/>
      <c r="H12" s="54">
        <f t="shared" si="5"/>
        <v>-1</v>
      </c>
      <c r="I12" s="206"/>
      <c r="J12" s="231">
        <f t="shared" si="6"/>
        <v>-1</v>
      </c>
      <c r="K12" s="203"/>
      <c r="L12" s="54">
        <f t="shared" si="1"/>
        <v>-1</v>
      </c>
      <c r="M12" s="206"/>
      <c r="N12" s="208">
        <f t="shared" si="2"/>
        <v>-1</v>
      </c>
      <c r="O12" s="55"/>
      <c r="P12" s="63" t="s">
        <v>208</v>
      </c>
      <c r="Q12" s="64">
        <v>6000</v>
      </c>
      <c r="R12" s="196">
        <f t="shared" si="3"/>
        <v>2</v>
      </c>
      <c r="S12" s="197">
        <v>8000</v>
      </c>
      <c r="T12" s="220"/>
      <c r="U12" s="223">
        <v>8000</v>
      </c>
      <c r="V12" s="196">
        <f t="shared" si="4"/>
        <v>2.2857142857142856</v>
      </c>
      <c r="W12" s="197">
        <v>8000</v>
      </c>
      <c r="X12" s="65"/>
      <c r="Y12" s="55"/>
      <c r="Z12" s="56" t="s">
        <v>236</v>
      </c>
      <c r="AA12" s="56" t="s">
        <v>236</v>
      </c>
      <c r="AB12" s="57"/>
      <c r="AC12" s="30"/>
      <c r="AD12" s="30"/>
      <c r="AE12" s="30"/>
      <c r="AF12" s="30"/>
      <c r="AG12" s="30"/>
      <c r="AH12" s="30"/>
      <c r="AI12" s="26" t="s">
        <v>213</v>
      </c>
      <c r="AJ12" s="235">
        <v>0.6</v>
      </c>
      <c r="AK12" s="236">
        <v>0.4</v>
      </c>
      <c r="AL12" s="30"/>
      <c r="AM12" s="30"/>
    </row>
    <row r="13" spans="1:39" ht="15" customHeight="1">
      <c r="A13" s="58" t="s">
        <v>211</v>
      </c>
      <c r="B13" s="59" t="s">
        <v>212</v>
      </c>
      <c r="C13" s="60">
        <v>0.19</v>
      </c>
      <c r="D13" s="61">
        <f t="shared" si="7"/>
        <v>1.1666666666666667</v>
      </c>
      <c r="E13" s="62">
        <f t="shared" si="0"/>
        <v>1.1428571428571428</v>
      </c>
      <c r="F13" s="30"/>
      <c r="G13" s="203"/>
      <c r="H13" s="54">
        <f t="shared" si="5"/>
        <v>-1</v>
      </c>
      <c r="I13" s="206"/>
      <c r="J13" s="231">
        <f t="shared" si="6"/>
        <v>-1</v>
      </c>
      <c r="K13" s="203"/>
      <c r="L13" s="54">
        <f t="shared" si="1"/>
        <v>-1</v>
      </c>
      <c r="M13" s="206"/>
      <c r="N13" s="208">
        <f t="shared" si="2"/>
        <v>-1</v>
      </c>
      <c r="O13" s="55"/>
      <c r="P13" s="63" t="s">
        <v>211</v>
      </c>
      <c r="Q13" s="64">
        <v>3500</v>
      </c>
      <c r="R13" s="196">
        <f t="shared" si="3"/>
        <v>1.1666666666666667</v>
      </c>
      <c r="S13" s="197">
        <v>3000</v>
      </c>
      <c r="T13" s="220"/>
      <c r="U13" s="223">
        <v>4000</v>
      </c>
      <c r="V13" s="196">
        <f t="shared" si="4"/>
        <v>1.1428571428571428</v>
      </c>
      <c r="W13" s="197">
        <v>3500</v>
      </c>
      <c r="X13" s="65"/>
      <c r="Y13" s="55"/>
      <c r="Z13" s="56" t="s">
        <v>238</v>
      </c>
      <c r="AA13" s="56" t="s">
        <v>239</v>
      </c>
      <c r="AB13" s="57"/>
      <c r="AC13" s="30"/>
      <c r="AD13" s="30"/>
      <c r="AE13" s="30"/>
      <c r="AF13" s="30"/>
      <c r="AG13" s="30"/>
      <c r="AH13" s="30"/>
      <c r="AI13" s="26" t="s">
        <v>218</v>
      </c>
      <c r="AJ13" s="235">
        <v>0.69</v>
      </c>
      <c r="AK13" s="236">
        <v>0.31</v>
      </c>
      <c r="AL13" s="30"/>
      <c r="AM13" s="30"/>
    </row>
    <row r="14" spans="1:39" ht="15" customHeight="1">
      <c r="A14" s="49" t="s">
        <v>214</v>
      </c>
      <c r="B14" s="50" t="s">
        <v>215</v>
      </c>
      <c r="C14" s="66">
        <v>0.19</v>
      </c>
      <c r="D14" s="52">
        <f t="shared" si="7"/>
        <v>1.3333333333333333</v>
      </c>
      <c r="E14" s="53">
        <f t="shared" si="0"/>
        <v>2</v>
      </c>
      <c r="F14" s="30"/>
      <c r="G14" s="203"/>
      <c r="H14" s="54">
        <f t="shared" si="5"/>
        <v>-1</v>
      </c>
      <c r="I14" s="206"/>
      <c r="J14" s="231">
        <f t="shared" si="6"/>
        <v>-1</v>
      </c>
      <c r="K14" s="203"/>
      <c r="L14" s="54">
        <f t="shared" si="1"/>
        <v>-1</v>
      </c>
      <c r="M14" s="206"/>
      <c r="N14" s="208">
        <f t="shared" si="2"/>
        <v>-1</v>
      </c>
      <c r="O14" s="55"/>
      <c r="P14" s="63" t="s">
        <v>214</v>
      </c>
      <c r="Q14" s="64">
        <v>4000</v>
      </c>
      <c r="R14" s="196">
        <f t="shared" si="3"/>
        <v>1.3333333333333333</v>
      </c>
      <c r="S14" s="197">
        <v>3500</v>
      </c>
      <c r="T14" s="220"/>
      <c r="U14" s="223">
        <v>7000</v>
      </c>
      <c r="V14" s="196">
        <f t="shared" si="4"/>
        <v>2</v>
      </c>
      <c r="W14" s="197">
        <v>4200</v>
      </c>
      <c r="X14" s="65"/>
      <c r="Y14" s="55"/>
      <c r="Z14" s="56" t="s">
        <v>241</v>
      </c>
      <c r="AA14" s="56" t="s">
        <v>242</v>
      </c>
      <c r="AB14" s="57"/>
      <c r="AC14" s="30"/>
      <c r="AD14" s="30"/>
      <c r="AE14" s="30"/>
      <c r="AF14" s="30"/>
      <c r="AG14" s="30"/>
      <c r="AH14" s="30"/>
      <c r="AI14" s="26" t="s">
        <v>223</v>
      </c>
      <c r="AJ14" s="235">
        <v>0.6</v>
      </c>
      <c r="AK14" s="236">
        <v>0.4</v>
      </c>
      <c r="AL14" s="30"/>
      <c r="AM14" s="30"/>
    </row>
    <row r="15" spans="1:39" ht="15" customHeight="1">
      <c r="A15" s="58" t="s">
        <v>219</v>
      </c>
      <c r="B15" s="59" t="s">
        <v>220</v>
      </c>
      <c r="C15" s="60">
        <v>0.2</v>
      </c>
      <c r="D15" s="61">
        <f t="shared" si="7"/>
        <v>1.1666666666666667</v>
      </c>
      <c r="E15" s="62">
        <f t="shared" si="0"/>
        <v>0</v>
      </c>
      <c r="F15" s="30"/>
      <c r="G15" s="203"/>
      <c r="H15" s="54">
        <f t="shared" si="5"/>
        <v>-1</v>
      </c>
      <c r="I15" s="206"/>
      <c r="J15" s="231" t="e">
        <f t="shared" si="6"/>
        <v>#DIV/0!</v>
      </c>
      <c r="K15" s="203"/>
      <c r="L15" s="54" t="e">
        <f t="shared" si="1"/>
        <v>#DIV/0!</v>
      </c>
      <c r="M15" s="206"/>
      <c r="N15" s="208" t="e">
        <f t="shared" si="2"/>
        <v>#DIV/0!</v>
      </c>
      <c r="O15" s="30"/>
      <c r="P15" s="63" t="s">
        <v>219</v>
      </c>
      <c r="Q15" s="64">
        <v>3500</v>
      </c>
      <c r="R15" s="196">
        <f t="shared" si="3"/>
        <v>1.1666666666666667</v>
      </c>
      <c r="S15" s="197"/>
      <c r="T15" s="220"/>
      <c r="U15" s="223"/>
      <c r="V15" s="196">
        <f t="shared" si="4"/>
        <v>0</v>
      </c>
      <c r="W15" s="197"/>
      <c r="X15" s="65"/>
      <c r="Y15" s="30"/>
      <c r="Z15" s="56" t="s">
        <v>243</v>
      </c>
      <c r="AA15" s="56" t="s">
        <v>244</v>
      </c>
      <c r="AB15" s="57"/>
      <c r="AC15" s="30"/>
      <c r="AD15" s="30"/>
      <c r="AE15" s="30"/>
      <c r="AF15" s="30"/>
      <c r="AG15" s="30"/>
      <c r="AH15" s="30"/>
      <c r="AI15" s="26" t="s">
        <v>228</v>
      </c>
      <c r="AJ15" s="235">
        <v>0.5</v>
      </c>
      <c r="AK15" s="236">
        <v>0.5</v>
      </c>
      <c r="AL15" s="30"/>
      <c r="AM15" s="30"/>
    </row>
    <row r="16" spans="1:39" ht="15.75" customHeight="1" thickBot="1">
      <c r="A16" s="49" t="s">
        <v>224</v>
      </c>
      <c r="B16" s="50" t="s">
        <v>225</v>
      </c>
      <c r="C16" s="66">
        <v>0.2</v>
      </c>
      <c r="D16" s="52">
        <f t="shared" si="7"/>
        <v>1.5</v>
      </c>
      <c r="E16" s="53">
        <f t="shared" si="0"/>
        <v>1.5714285714285714</v>
      </c>
      <c r="F16" s="30"/>
      <c r="G16" s="204"/>
      <c r="H16" s="205">
        <f t="shared" si="5"/>
        <v>-1</v>
      </c>
      <c r="I16" s="207"/>
      <c r="J16" s="232">
        <f t="shared" si="6"/>
        <v>-1</v>
      </c>
      <c r="K16" s="204"/>
      <c r="L16" s="205">
        <f t="shared" si="1"/>
        <v>-1</v>
      </c>
      <c r="M16" s="207"/>
      <c r="N16" s="209">
        <f t="shared" si="2"/>
        <v>-1</v>
      </c>
      <c r="O16" s="30"/>
      <c r="P16" s="70" t="s">
        <v>224</v>
      </c>
      <c r="Q16" s="199">
        <v>4500</v>
      </c>
      <c r="R16" s="200">
        <f t="shared" si="3"/>
        <v>1.5</v>
      </c>
      <c r="S16" s="201">
        <v>3500</v>
      </c>
      <c r="T16" s="221"/>
      <c r="U16" s="224">
        <v>5500</v>
      </c>
      <c r="V16" s="200">
        <f t="shared" si="4"/>
        <v>1.5714285714285714</v>
      </c>
      <c r="W16" s="201">
        <v>3000</v>
      </c>
      <c r="X16" s="202"/>
      <c r="Y16" s="30"/>
      <c r="Z16" s="56" t="s">
        <v>245</v>
      </c>
      <c r="AA16" s="56" t="s">
        <v>246</v>
      </c>
      <c r="AB16" s="57"/>
      <c r="AC16" s="30"/>
      <c r="AD16" s="30"/>
      <c r="AE16" s="30"/>
      <c r="AF16" s="30"/>
      <c r="AG16" s="30"/>
      <c r="AH16" s="30"/>
      <c r="AI16" s="26" t="s">
        <v>232</v>
      </c>
      <c r="AJ16" s="235">
        <v>0.6</v>
      </c>
      <c r="AK16" s="236">
        <v>0.4</v>
      </c>
      <c r="AL16" s="30"/>
      <c r="AM16" s="30"/>
    </row>
    <row r="17" spans="1:39" ht="15.75" customHeight="1">
      <c r="A17" s="30"/>
      <c r="B17" s="30"/>
      <c r="C17" s="30"/>
      <c r="D17" s="30"/>
      <c r="E17" s="30"/>
      <c r="F17" s="30"/>
      <c r="G17" s="262" t="s">
        <v>309</v>
      </c>
      <c r="H17" s="263"/>
      <c r="I17" s="263"/>
      <c r="J17" s="263"/>
      <c r="K17" s="263"/>
      <c r="L17" s="263"/>
      <c r="M17" s="263"/>
      <c r="N17" s="263"/>
      <c r="O17" s="30"/>
      <c r="P17" s="264" t="s">
        <v>318</v>
      </c>
      <c r="Q17" s="265"/>
      <c r="R17" s="266"/>
      <c r="S17" s="198">
        <v>3000</v>
      </c>
      <c r="T17" s="195"/>
      <c r="U17" s="267" t="s">
        <v>229</v>
      </c>
      <c r="V17" s="268"/>
      <c r="W17" s="269"/>
      <c r="X17" s="198">
        <v>3500</v>
      </c>
      <c r="Y17" s="30"/>
      <c r="Z17" s="56" t="s">
        <v>247</v>
      </c>
      <c r="AA17" s="56" t="s">
        <v>248</v>
      </c>
      <c r="AB17" s="57"/>
      <c r="AC17" s="30"/>
      <c r="AD17" s="30"/>
      <c r="AE17" s="30"/>
      <c r="AF17" s="30"/>
      <c r="AG17" s="30"/>
      <c r="AH17" s="30"/>
      <c r="AI17" s="26" t="s">
        <v>237</v>
      </c>
      <c r="AJ17" s="235">
        <v>0.5</v>
      </c>
      <c r="AK17" s="236">
        <v>0.5</v>
      </c>
      <c r="AL17" s="30"/>
      <c r="AM17" s="30"/>
    </row>
    <row r="18" spans="1:39" ht="15" customHeight="1">
      <c r="A18" s="30"/>
      <c r="B18" s="30"/>
      <c r="C18" s="30"/>
      <c r="D18" s="30"/>
      <c r="E18" s="30"/>
      <c r="F18" s="30"/>
      <c r="G18" s="55"/>
      <c r="H18" s="55"/>
      <c r="I18" s="55"/>
      <c r="J18" s="55"/>
      <c r="K18" s="55"/>
      <c r="L18" s="55"/>
      <c r="M18" s="55"/>
      <c r="N18" s="55"/>
      <c r="O18" s="30"/>
      <c r="P18" s="30"/>
      <c r="Q18" s="71"/>
      <c r="R18" s="71"/>
      <c r="S18" s="30"/>
      <c r="T18" s="30"/>
      <c r="U18" s="30"/>
      <c r="V18" s="30"/>
      <c r="W18" s="30"/>
      <c r="X18" s="30"/>
      <c r="Y18" s="30"/>
      <c r="Z18" s="56" t="s">
        <v>249</v>
      </c>
      <c r="AA18" s="56" t="s">
        <v>250</v>
      </c>
      <c r="AB18" s="57"/>
      <c r="AC18" s="30"/>
      <c r="AD18" s="30"/>
      <c r="AE18" s="30"/>
      <c r="AF18" s="30"/>
      <c r="AG18" s="30"/>
      <c r="AH18" s="30"/>
      <c r="AI18" s="26" t="s">
        <v>240</v>
      </c>
      <c r="AJ18" s="237">
        <v>0.64500000000000002</v>
      </c>
      <c r="AK18" s="236">
        <v>0.35499999999999998</v>
      </c>
      <c r="AL18" s="30"/>
      <c r="AM18" s="30"/>
    </row>
    <row r="19" spans="1:39" ht="15" customHeight="1">
      <c r="A19" s="30"/>
      <c r="B19" s="30"/>
      <c r="C19" s="30"/>
      <c r="D19" s="30"/>
      <c r="E19" s="30"/>
      <c r="F19" s="30"/>
      <c r="G19" s="55"/>
      <c r="H19" s="55"/>
      <c r="I19" s="55"/>
      <c r="J19" s="55"/>
      <c r="K19" s="55"/>
      <c r="L19" s="55"/>
      <c r="M19" s="55"/>
      <c r="N19" s="55"/>
      <c r="O19" s="55"/>
      <c r="P19" s="30"/>
      <c r="Q19" s="71"/>
      <c r="R19" s="71"/>
      <c r="S19" s="30"/>
      <c r="T19" s="30"/>
      <c r="U19" s="30"/>
      <c r="V19" s="30"/>
      <c r="W19" s="30"/>
      <c r="X19" s="30"/>
      <c r="Y19" s="55"/>
      <c r="Z19" s="56" t="s">
        <v>252</v>
      </c>
      <c r="AA19" s="56" t="s">
        <v>253</v>
      </c>
      <c r="AB19" s="57"/>
      <c r="AC19" s="30"/>
      <c r="AD19" s="30"/>
      <c r="AE19" s="30"/>
      <c r="AF19" s="30"/>
      <c r="AG19" s="30"/>
      <c r="AH19" s="30"/>
      <c r="AI19" s="26" t="s">
        <v>0</v>
      </c>
      <c r="AJ19" s="235">
        <v>0.55000000000000004</v>
      </c>
      <c r="AK19" s="54">
        <v>0.45</v>
      </c>
      <c r="AL19" s="30"/>
      <c r="AM19" s="30"/>
    </row>
    <row r="20" spans="1:39" ht="15" customHeight="1">
      <c r="A20" s="30"/>
      <c r="B20" s="30"/>
      <c r="C20" s="30"/>
      <c r="D20" s="30"/>
      <c r="E20" s="30"/>
      <c r="F20" s="30"/>
      <c r="G20" s="55"/>
      <c r="H20" s="55"/>
      <c r="I20" s="55"/>
      <c r="J20" s="55"/>
      <c r="K20" s="55"/>
      <c r="L20" s="55"/>
      <c r="M20" s="55"/>
      <c r="N20" s="55"/>
      <c r="O20" s="55"/>
      <c r="P20" s="30"/>
      <c r="Q20" s="71"/>
      <c r="R20" s="71"/>
      <c r="S20" s="30"/>
      <c r="T20" s="30"/>
      <c r="U20" s="30"/>
      <c r="V20" s="30"/>
      <c r="W20" s="30"/>
      <c r="X20" s="30"/>
      <c r="Y20" s="55"/>
      <c r="Z20" s="56" t="s">
        <v>254</v>
      </c>
      <c r="AA20" s="56" t="s">
        <v>255</v>
      </c>
      <c r="AB20" s="57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</row>
    <row r="21" spans="1:39" ht="15" customHeight="1">
      <c r="A21" s="30"/>
      <c r="B21" s="30"/>
      <c r="C21" s="30"/>
      <c r="D21" s="30"/>
      <c r="E21" s="30"/>
      <c r="F21" s="30"/>
      <c r="G21" s="55"/>
      <c r="H21" s="55"/>
      <c r="I21" s="55"/>
      <c r="J21" s="55"/>
      <c r="K21" s="55"/>
      <c r="L21" s="55"/>
      <c r="M21" s="55"/>
      <c r="N21" s="55"/>
      <c r="O21" s="55"/>
      <c r="P21" s="30"/>
      <c r="Q21" s="71"/>
      <c r="R21" s="71"/>
      <c r="S21" s="30"/>
      <c r="T21" s="30"/>
      <c r="U21" s="30"/>
      <c r="V21" s="30"/>
      <c r="W21" s="30"/>
      <c r="X21" s="30"/>
      <c r="Y21" s="55"/>
      <c r="Z21" s="56" t="s">
        <v>256</v>
      </c>
      <c r="AA21" s="56" t="s">
        <v>257</v>
      </c>
      <c r="AB21" s="57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</row>
    <row r="22" spans="1:39" ht="15" customHeight="1">
      <c r="A22" s="30"/>
      <c r="B22" s="30"/>
      <c r="C22" s="30"/>
      <c r="D22" s="30"/>
      <c r="E22" s="30"/>
      <c r="F22" s="30"/>
      <c r="G22" s="55"/>
      <c r="H22" s="55"/>
      <c r="I22" s="55"/>
      <c r="J22" s="55"/>
      <c r="K22" s="55"/>
      <c r="L22" s="55"/>
      <c r="M22" s="55"/>
      <c r="N22" s="55"/>
      <c r="O22" s="55"/>
      <c r="P22" s="30"/>
      <c r="Q22" s="71"/>
      <c r="R22" s="71"/>
      <c r="S22" s="30"/>
      <c r="T22" s="30"/>
      <c r="U22" s="30"/>
      <c r="V22" s="30"/>
      <c r="W22" s="30"/>
      <c r="X22" s="30"/>
      <c r="Y22" s="55"/>
      <c r="Z22" s="56" t="s">
        <v>258</v>
      </c>
      <c r="AA22" s="56" t="s">
        <v>259</v>
      </c>
      <c r="AB22" s="57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</row>
    <row r="23" spans="1:39" ht="15" customHeight="1">
      <c r="A23" s="30"/>
      <c r="B23" s="30"/>
      <c r="C23" s="30"/>
      <c r="D23" s="30"/>
      <c r="E23" s="69"/>
      <c r="F23" s="30"/>
      <c r="G23" s="55"/>
      <c r="H23" s="55"/>
      <c r="I23" s="55"/>
      <c r="J23" s="55"/>
      <c r="K23" s="55"/>
      <c r="L23" s="55"/>
      <c r="M23" s="55"/>
      <c r="N23" s="55"/>
      <c r="O23" s="55"/>
      <c r="P23" s="30"/>
      <c r="Q23" s="71"/>
      <c r="R23" s="71"/>
      <c r="S23" s="30"/>
      <c r="T23" s="30"/>
      <c r="U23" s="30"/>
      <c r="V23" s="30"/>
      <c r="W23" s="30"/>
      <c r="X23" s="30"/>
      <c r="Y23" s="55"/>
      <c r="Z23" s="56" t="s">
        <v>72</v>
      </c>
      <c r="AA23" s="56" t="s">
        <v>158</v>
      </c>
      <c r="AB23" s="57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</row>
    <row r="24" spans="1:39" ht="15" customHeight="1">
      <c r="A24" s="30"/>
      <c r="B24" s="30"/>
      <c r="C24" s="30"/>
      <c r="D24" s="30"/>
      <c r="E24" s="69"/>
      <c r="F24" s="30"/>
      <c r="G24" s="55"/>
      <c r="H24" s="55"/>
      <c r="I24" s="55"/>
      <c r="J24" s="55"/>
      <c r="K24" s="55"/>
      <c r="L24" s="55"/>
      <c r="M24" s="55"/>
      <c r="N24" s="55"/>
      <c r="O24" s="55"/>
      <c r="P24" s="30"/>
      <c r="Q24" s="71"/>
      <c r="R24" s="71"/>
      <c r="S24" s="30"/>
      <c r="T24" s="30"/>
      <c r="U24" s="30"/>
      <c r="V24" s="30"/>
      <c r="W24" s="30"/>
      <c r="X24" s="30"/>
      <c r="Y24" s="55"/>
      <c r="Z24" s="56" t="s">
        <v>260</v>
      </c>
      <c r="AA24" s="56" t="s">
        <v>261</v>
      </c>
      <c r="AB24" s="57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</row>
    <row r="25" spans="1:39" ht="15" customHeight="1">
      <c r="A25" s="30" t="s">
        <v>251</v>
      </c>
      <c r="B25" s="30"/>
      <c r="C25" s="30"/>
      <c r="D25" s="30"/>
      <c r="E25" s="69"/>
      <c r="F25" s="30"/>
      <c r="G25" s="55"/>
      <c r="H25" s="55"/>
      <c r="I25" s="55"/>
      <c r="J25" s="55"/>
      <c r="K25" s="55"/>
      <c r="L25" s="55"/>
      <c r="M25" s="55"/>
      <c r="N25" s="55"/>
      <c r="O25" s="55"/>
      <c r="P25" s="30"/>
      <c r="Q25" s="71"/>
      <c r="R25" s="71"/>
      <c r="S25" s="30"/>
      <c r="T25" s="30"/>
      <c r="U25" s="30"/>
      <c r="V25" s="30"/>
      <c r="W25" s="30"/>
      <c r="X25" s="30"/>
      <c r="Y25" s="55"/>
      <c r="Z25" s="56" t="s">
        <v>262</v>
      </c>
      <c r="AA25" s="56" t="s">
        <v>263</v>
      </c>
      <c r="AB25" s="57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</row>
    <row r="26" spans="1:39" ht="15" customHeight="1">
      <c r="A26" s="30"/>
      <c r="B26" s="30"/>
      <c r="C26" s="30"/>
      <c r="D26" s="30"/>
      <c r="E26" s="69"/>
      <c r="F26" s="30"/>
      <c r="G26" s="55"/>
      <c r="H26" s="55"/>
      <c r="I26" s="55"/>
      <c r="J26" s="55"/>
      <c r="K26" s="55"/>
      <c r="L26" s="55"/>
      <c r="M26" s="55"/>
      <c r="N26" s="55"/>
      <c r="O26" s="55"/>
      <c r="P26" s="30"/>
      <c r="Q26" s="71"/>
      <c r="R26" s="71"/>
      <c r="S26" s="30"/>
      <c r="T26" s="30"/>
      <c r="U26" s="30"/>
      <c r="V26" s="30"/>
      <c r="W26" s="30"/>
      <c r="X26" s="30"/>
      <c r="Y26" s="55"/>
      <c r="Z26" s="56" t="s">
        <v>264</v>
      </c>
      <c r="AA26" s="56" t="s">
        <v>265</v>
      </c>
      <c r="AB26" s="57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</row>
    <row r="27" spans="1:39" ht="15" customHeight="1">
      <c r="A27" s="30"/>
      <c r="B27" s="30"/>
      <c r="C27" s="30"/>
      <c r="D27" s="30"/>
      <c r="E27" s="69"/>
      <c r="F27" s="30"/>
      <c r="G27" s="55"/>
      <c r="H27" s="55"/>
      <c r="I27" s="55"/>
      <c r="J27" s="55"/>
      <c r="K27" s="55"/>
      <c r="L27" s="55"/>
      <c r="M27" s="55"/>
      <c r="N27" s="55"/>
      <c r="O27" s="55"/>
      <c r="P27" s="30"/>
      <c r="Q27" s="71"/>
      <c r="R27" s="71"/>
      <c r="S27" s="30"/>
      <c r="T27" s="30"/>
      <c r="U27" s="30"/>
      <c r="V27" s="30"/>
      <c r="W27" s="30"/>
      <c r="X27" s="30"/>
      <c r="Y27" s="55"/>
      <c r="Z27" s="56" t="s">
        <v>266</v>
      </c>
      <c r="AA27" s="56" t="s">
        <v>266</v>
      </c>
      <c r="AB27" s="57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</row>
    <row r="28" spans="1:39" ht="15" customHeight="1">
      <c r="A28" s="30"/>
      <c r="B28" s="30"/>
      <c r="C28" s="30"/>
      <c r="D28" s="30"/>
      <c r="E28" s="69"/>
      <c r="F28" s="30"/>
      <c r="G28" s="55"/>
      <c r="H28" s="55"/>
      <c r="I28" s="55"/>
      <c r="J28" s="55"/>
      <c r="K28" s="55"/>
      <c r="L28" s="55"/>
      <c r="M28" s="55"/>
      <c r="N28" s="55"/>
      <c r="O28" s="55"/>
      <c r="P28" s="30"/>
      <c r="Q28" s="71"/>
      <c r="R28" s="71"/>
      <c r="S28" s="30"/>
      <c r="T28" s="30"/>
      <c r="U28" s="30"/>
      <c r="V28" s="30"/>
      <c r="W28" s="30"/>
      <c r="X28" s="30"/>
      <c r="Y28" s="55"/>
      <c r="Z28" s="56" t="s">
        <v>267</v>
      </c>
      <c r="AA28" s="56" t="s">
        <v>267</v>
      </c>
      <c r="AB28" s="57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</row>
    <row r="29" spans="1:39" ht="15" customHeight="1">
      <c r="A29" s="30"/>
      <c r="B29" s="30"/>
      <c r="C29" s="30"/>
      <c r="D29" s="30"/>
      <c r="E29" s="69"/>
      <c r="F29" s="30"/>
      <c r="G29" s="55"/>
      <c r="H29" s="55"/>
      <c r="I29" s="55"/>
      <c r="J29" s="55"/>
      <c r="K29" s="55"/>
      <c r="L29" s="55"/>
      <c r="M29" s="55"/>
      <c r="N29" s="55"/>
      <c r="O29" s="55"/>
      <c r="P29" s="30"/>
      <c r="Q29" s="71"/>
      <c r="R29" s="71"/>
      <c r="S29" s="30"/>
      <c r="T29" s="30"/>
      <c r="U29" s="30"/>
      <c r="V29" s="30"/>
      <c r="W29" s="30"/>
      <c r="X29" s="30"/>
      <c r="Y29" s="55"/>
      <c r="Z29" s="56" t="s">
        <v>268</v>
      </c>
      <c r="AA29" s="56" t="s">
        <v>268</v>
      </c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</row>
    <row r="30" spans="1:39" ht="15" customHeight="1">
      <c r="A30" s="30"/>
      <c r="B30" s="30"/>
      <c r="C30" s="30"/>
      <c r="D30" s="30"/>
      <c r="E30" s="69"/>
      <c r="F30" s="30"/>
      <c r="G30" s="55"/>
      <c r="H30" s="55"/>
      <c r="I30" s="55"/>
      <c r="J30" s="55"/>
      <c r="K30" s="55"/>
      <c r="L30" s="55"/>
      <c r="M30" s="55"/>
      <c r="N30" s="55"/>
      <c r="O30" s="55"/>
      <c r="P30" s="30"/>
      <c r="Q30" s="71"/>
      <c r="R30" s="71"/>
      <c r="S30" s="30"/>
      <c r="T30" s="30"/>
      <c r="U30" s="30"/>
      <c r="V30" s="30"/>
      <c r="W30" s="30"/>
      <c r="X30" s="30"/>
      <c r="Y30" s="55"/>
      <c r="Z30" s="56" t="s">
        <v>269</v>
      </c>
      <c r="AA30" s="56" t="s">
        <v>270</v>
      </c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</row>
    <row r="31" spans="1:39" ht="15.75" customHeight="1">
      <c r="A31" s="30"/>
      <c r="B31" s="30"/>
      <c r="C31" s="30"/>
      <c r="D31" s="30"/>
      <c r="E31" s="69"/>
      <c r="F31" s="30"/>
      <c r="G31" s="55"/>
      <c r="H31" s="55"/>
      <c r="I31" s="55"/>
      <c r="J31" s="55"/>
      <c r="K31" s="55"/>
      <c r="L31" s="55"/>
      <c r="M31" s="55"/>
      <c r="N31" s="55"/>
      <c r="O31" s="55"/>
      <c r="P31" s="30"/>
      <c r="Q31" s="71"/>
      <c r="R31" s="71"/>
      <c r="S31" s="30"/>
      <c r="T31" s="30"/>
      <c r="U31" s="30"/>
      <c r="V31" s="30"/>
      <c r="W31" s="30"/>
      <c r="X31" s="30"/>
      <c r="Y31" s="55"/>
      <c r="Z31" s="56" t="s">
        <v>271</v>
      </c>
      <c r="AA31" s="56" t="s">
        <v>272</v>
      </c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</row>
    <row r="32" spans="1:39" ht="15" customHeight="1">
      <c r="A32" s="30"/>
      <c r="B32" s="30"/>
      <c r="C32" s="30"/>
      <c r="D32" s="30"/>
      <c r="E32" s="69"/>
      <c r="F32" s="30"/>
      <c r="G32" s="55"/>
      <c r="H32" s="55"/>
      <c r="I32" s="55"/>
      <c r="J32" s="55"/>
      <c r="K32" s="55"/>
      <c r="L32" s="55"/>
      <c r="M32" s="55"/>
      <c r="N32" s="55"/>
      <c r="O32" s="55"/>
      <c r="P32" s="30"/>
      <c r="Q32" s="71"/>
      <c r="R32" s="71"/>
      <c r="S32" s="30"/>
      <c r="T32" s="30"/>
      <c r="U32" s="30"/>
      <c r="V32" s="30"/>
      <c r="W32" s="30"/>
      <c r="X32" s="30"/>
      <c r="Y32" s="55"/>
      <c r="Z32" s="56" t="s">
        <v>273</v>
      </c>
      <c r="AA32" s="56" t="s">
        <v>274</v>
      </c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</row>
    <row r="33" spans="1:39" ht="15" customHeight="1">
      <c r="A33" s="30"/>
      <c r="B33" s="30"/>
      <c r="C33" s="30"/>
      <c r="D33" s="30"/>
      <c r="E33" s="69"/>
      <c r="F33" s="30"/>
      <c r="G33" s="55"/>
      <c r="H33" s="55"/>
      <c r="I33" s="55"/>
      <c r="J33" s="55"/>
      <c r="K33" s="55"/>
      <c r="L33" s="55"/>
      <c r="M33" s="55"/>
      <c r="N33" s="55"/>
      <c r="O33" s="55"/>
      <c r="P33" s="30"/>
      <c r="Q33" s="71"/>
      <c r="R33" s="71"/>
      <c r="S33" s="30"/>
      <c r="T33" s="30"/>
      <c r="U33" s="30"/>
      <c r="V33" s="30"/>
      <c r="W33" s="30"/>
      <c r="X33" s="30"/>
      <c r="Y33" s="55"/>
      <c r="Z33" s="56" t="s">
        <v>275</v>
      </c>
      <c r="AA33" s="56" t="s">
        <v>276</v>
      </c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</row>
    <row r="34" spans="1:39" ht="15" customHeight="1">
      <c r="A34" s="30"/>
      <c r="B34" s="30"/>
      <c r="C34" s="30"/>
      <c r="D34" s="30"/>
      <c r="E34" s="69"/>
      <c r="F34" s="30"/>
      <c r="G34" s="55"/>
      <c r="H34" s="55"/>
      <c r="I34" s="55"/>
      <c r="J34" s="55"/>
      <c r="K34" s="55"/>
      <c r="L34" s="55"/>
      <c r="M34" s="55"/>
      <c r="N34" s="55"/>
      <c r="O34" s="30"/>
      <c r="P34" s="30"/>
      <c r="Q34" s="71"/>
      <c r="R34" s="71"/>
      <c r="S34" s="30"/>
      <c r="T34" s="30"/>
      <c r="U34" s="30"/>
      <c r="V34" s="30"/>
      <c r="W34" s="30"/>
      <c r="X34" s="30"/>
      <c r="Y34" s="30"/>
      <c r="Z34" s="56" t="s">
        <v>277</v>
      </c>
      <c r="AA34" s="56" t="s">
        <v>278</v>
      </c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</row>
    <row r="35" spans="1:39" ht="15" customHeight="1">
      <c r="A35" s="30"/>
      <c r="B35" s="30"/>
      <c r="C35" s="30"/>
      <c r="D35" s="30"/>
      <c r="E35" s="69"/>
      <c r="F35" s="30"/>
      <c r="G35" s="55"/>
      <c r="H35" s="55"/>
      <c r="I35" s="55"/>
      <c r="J35" s="55"/>
      <c r="K35" s="55"/>
      <c r="L35" s="55"/>
      <c r="M35" s="55"/>
      <c r="N35" s="55"/>
      <c r="O35" s="30"/>
      <c r="P35" s="30"/>
      <c r="Q35" s="71"/>
      <c r="R35" s="71"/>
      <c r="S35" s="30"/>
      <c r="T35" s="30"/>
      <c r="U35" s="30"/>
      <c r="V35" s="30"/>
      <c r="W35" s="30"/>
      <c r="X35" s="30"/>
      <c r="Y35" s="30"/>
      <c r="Z35" s="56" t="s">
        <v>279</v>
      </c>
      <c r="AA35" s="56" t="s">
        <v>280</v>
      </c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</row>
    <row r="36" spans="1:39" ht="15" customHeight="1">
      <c r="A36" s="30"/>
      <c r="B36" s="30"/>
      <c r="C36" s="30"/>
      <c r="D36" s="30"/>
      <c r="E36" s="69"/>
      <c r="F36" s="30"/>
      <c r="G36" s="55"/>
      <c r="H36" s="55"/>
      <c r="I36" s="55"/>
      <c r="J36" s="55"/>
      <c r="K36" s="55"/>
      <c r="L36" s="55"/>
      <c r="M36" s="55"/>
      <c r="N36" s="55"/>
      <c r="O36" s="30"/>
      <c r="P36" s="30"/>
      <c r="Q36" s="71"/>
      <c r="R36" s="71"/>
      <c r="S36" s="30"/>
      <c r="T36" s="30"/>
      <c r="U36" s="30"/>
      <c r="V36" s="30"/>
      <c r="W36" s="30"/>
      <c r="X36" s="30"/>
      <c r="Y36" s="30"/>
      <c r="Z36" s="56" t="s">
        <v>281</v>
      </c>
      <c r="AA36" s="56" t="s">
        <v>282</v>
      </c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</row>
    <row r="37" spans="1:39" ht="15" customHeight="1">
      <c r="A37" s="30"/>
      <c r="B37" s="30"/>
      <c r="C37" s="30"/>
      <c r="D37" s="30"/>
      <c r="E37" s="30"/>
      <c r="F37" s="30"/>
      <c r="G37" s="55"/>
      <c r="H37" s="55"/>
      <c r="I37" s="55"/>
      <c r="J37" s="55"/>
      <c r="K37" s="55"/>
      <c r="L37" s="55"/>
      <c r="M37" s="55"/>
      <c r="N37" s="55"/>
      <c r="O37" s="30"/>
      <c r="P37" s="30"/>
      <c r="Q37" s="71"/>
      <c r="R37" s="71"/>
      <c r="S37" s="30"/>
      <c r="T37" s="30"/>
      <c r="U37" s="30"/>
      <c r="V37" s="30"/>
      <c r="W37" s="30"/>
      <c r="X37" s="30"/>
      <c r="Y37" s="30"/>
      <c r="Z37" s="56" t="s">
        <v>283</v>
      </c>
      <c r="AA37" s="56" t="s">
        <v>284</v>
      </c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</row>
    <row r="38" spans="1:39" ht="15" customHeight="1">
      <c r="A38" s="30"/>
      <c r="B38" s="30"/>
      <c r="C38" s="30"/>
      <c r="D38" s="67"/>
      <c r="E38" s="67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56" t="s">
        <v>285</v>
      </c>
      <c r="AA38" s="56" t="s">
        <v>286</v>
      </c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</row>
    <row r="39" spans="1:39" ht="15" customHeight="1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56" t="s">
        <v>287</v>
      </c>
      <c r="AA39" s="56" t="s">
        <v>288</v>
      </c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</row>
    <row r="40" spans="1:39" ht="15" customHeight="1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56" t="s">
        <v>289</v>
      </c>
      <c r="AA40" s="56" t="s">
        <v>290</v>
      </c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39" ht="15" customHeight="1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56" t="s">
        <v>291</v>
      </c>
      <c r="AA41" s="56" t="s">
        <v>292</v>
      </c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</row>
    <row r="42" spans="1:39" ht="15" customHeight="1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56" t="s">
        <v>293</v>
      </c>
      <c r="AA42" s="56" t="s">
        <v>294</v>
      </c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</row>
    <row r="43" spans="1:39" ht="15" customHeight="1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56" t="s">
        <v>295</v>
      </c>
      <c r="AA43" s="56" t="s">
        <v>296</v>
      </c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</row>
    <row r="44" spans="1:39" ht="15" customHeight="1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56" t="s">
        <v>297</v>
      </c>
      <c r="AA44" s="56" t="s">
        <v>298</v>
      </c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</row>
    <row r="45" spans="1:39" ht="15" customHeight="1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56" t="s">
        <v>299</v>
      </c>
      <c r="AA45" s="56" t="s">
        <v>300</v>
      </c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</row>
    <row r="46" spans="1:39" ht="15" customHeight="1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56" t="s">
        <v>301</v>
      </c>
      <c r="AA46" s="56" t="s">
        <v>302</v>
      </c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</row>
    <row r="47" spans="1:39" ht="15" customHeight="1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56" t="s">
        <v>303</v>
      </c>
      <c r="AA47" s="56" t="s">
        <v>304</v>
      </c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</row>
    <row r="48" spans="1:39" ht="15" customHeight="1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56" t="s">
        <v>305</v>
      </c>
      <c r="AA48" s="56" t="s">
        <v>306</v>
      </c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</row>
    <row r="49" spans="1:39" ht="15" customHeight="1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</row>
    <row r="50" spans="1:39" ht="15" customHeight="1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</row>
    <row r="51" spans="1:39" ht="15" customHeight="1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</row>
    <row r="52" spans="1:39" ht="15" customHeight="1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</row>
    <row r="53" spans="1:39" ht="15" customHeight="1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</row>
    <row r="54" spans="1:39" ht="15" customHeight="1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</row>
    <row r="55" spans="1:39" ht="15" customHeigh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</row>
    <row r="56" spans="1:39" ht="15" customHeight="1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</row>
    <row r="57" spans="1:39" ht="15" customHeight="1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</row>
    <row r="58" spans="1:39" ht="15" customHeight="1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</row>
    <row r="59" spans="1:39" ht="15" customHeight="1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</row>
    <row r="60" spans="1:39" ht="15" customHeight="1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</row>
    <row r="61" spans="1:39" ht="15" customHeight="1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</row>
    <row r="62" spans="1:39" ht="15" customHeight="1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</row>
    <row r="63" spans="1:39" ht="15" customHeight="1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72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</row>
    <row r="64" spans="1:39" ht="15" customHeight="1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</row>
    <row r="65" spans="1:39" ht="15" customHeight="1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</row>
    <row r="66" spans="1:39" ht="15" customHeight="1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</row>
    <row r="67" spans="1:39" ht="15" customHeight="1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</row>
    <row r="68" spans="1:39" ht="15" customHeight="1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</row>
    <row r="69" spans="1:39" ht="15" customHeight="1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</row>
    <row r="70" spans="1:3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P70" s="30"/>
      <c r="Q70" s="30"/>
      <c r="R70" s="30"/>
      <c r="S70" s="30"/>
      <c r="T70" s="30"/>
    </row>
    <row r="71" spans="1:39">
      <c r="G71" s="30"/>
      <c r="H71" s="30"/>
      <c r="I71" s="30"/>
      <c r="J71" s="30"/>
      <c r="K71" s="30"/>
      <c r="L71" s="30"/>
      <c r="M71" s="30"/>
      <c r="N71" s="30"/>
      <c r="P71" s="30"/>
      <c r="Q71" s="30"/>
      <c r="R71" s="30"/>
      <c r="S71" s="30"/>
      <c r="T71" s="30"/>
    </row>
  </sheetData>
  <mergeCells count="3">
    <mergeCell ref="G17:N17"/>
    <mergeCell ref="P17:R17"/>
    <mergeCell ref="U17:W17"/>
  </mergeCell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Pre Costing</vt:lpstr>
      <vt:lpstr>T&amp;A</vt:lpstr>
      <vt:lpstr>Margin Data Recap</vt:lpstr>
      <vt:lpstr>Internal</vt:lpstr>
      <vt:lpstr>COO</vt:lpstr>
      <vt:lpstr>Frieght</vt:lpstr>
      <vt:lpstr>OrderConfrim</vt:lpstr>
      <vt:lpstr>PACKING</vt:lpstr>
      <vt:lpstr>'Pre Costing'!Print_Area</vt:lpstr>
      <vt:lpstr>'Pre Costing'!Print_Titles</vt:lpstr>
      <vt:lpstr>Program</vt:lpstr>
      <vt:lpstr>Sizing</vt:lpstr>
      <vt:lpstr>Terms</vt:lpstr>
      <vt:lpstr>'Pre Costing'!vendors</vt:lpstr>
      <vt:lpstr>Vendors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chrisl</dc:creator>
  <cp:lastModifiedBy>Daniel Levy</cp:lastModifiedBy>
  <cp:revision>0</cp:revision>
  <cp:lastPrinted>2020-01-09T19:30:04Z</cp:lastPrinted>
  <dcterms:created xsi:type="dcterms:W3CDTF">2011-07-06T18:55:06Z</dcterms:created>
  <dcterms:modified xsi:type="dcterms:W3CDTF">2026-03-16T05:10:22Z</dcterms:modified>
  <dc:language>en-US</dc:language>
</cp:coreProperties>
</file>